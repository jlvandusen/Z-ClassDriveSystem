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767A49BB-8B6A-4361-BF97-050E01CBB00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 1" sheetId="1" r:id="rId1"/>
    <sheet name="Build Parts" sheetId="3" r:id="rId2"/>
    <sheet name="Sheet1" sheetId="2" r:id="rId3"/>
  </sheets>
  <definedNames>
    <definedName name="_xlnm._FilterDatabase" localSheetId="0" hidden="1">'Sheet 1'!$A$2:$Z$105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99" i="2"/>
  <c r="E30" i="2"/>
  <c r="E45" i="2"/>
  <c r="E88" i="2"/>
  <c r="E85" i="2"/>
  <c r="E95" i="2"/>
  <c r="E84" i="2"/>
  <c r="E83" i="2"/>
  <c r="E97" i="2"/>
  <c r="E96" i="2"/>
  <c r="E93" i="2"/>
  <c r="E92" i="2"/>
  <c r="E91" i="2"/>
  <c r="E82" i="2"/>
  <c r="E80" i="2"/>
  <c r="E79" i="2"/>
  <c r="E78" i="2"/>
  <c r="E77" i="2"/>
  <c r="E90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8" i="2"/>
  <c r="E47" i="2"/>
  <c r="E44" i="2"/>
  <c r="E41" i="2"/>
  <c r="E37" i="2"/>
  <c r="E36" i="2"/>
  <c r="E35" i="2"/>
  <c r="E34" i="2"/>
  <c r="E32" i="2"/>
  <c r="E31" i="2"/>
  <c r="E29" i="2"/>
  <c r="E28" i="2"/>
  <c r="E27" i="2"/>
  <c r="E26" i="2"/>
  <c r="E25" i="2"/>
  <c r="E24" i="2"/>
  <c r="E23" i="2"/>
  <c r="E22" i="2"/>
  <c r="E20" i="2"/>
  <c r="E19" i="2"/>
  <c r="E18" i="2"/>
  <c r="E17" i="2"/>
  <c r="E16" i="2"/>
  <c r="E15" i="2"/>
  <c r="E12" i="2"/>
  <c r="E11" i="2"/>
  <c r="E10" i="2"/>
  <c r="E9" i="2"/>
  <c r="E8" i="2"/>
  <c r="E7" i="2"/>
  <c r="E6" i="2"/>
  <c r="E5" i="2"/>
  <c r="E4" i="2"/>
  <c r="E103" i="1"/>
  <c r="E49" i="1"/>
  <c r="H33" i="1"/>
  <c r="E33" i="1"/>
  <c r="H24" i="1"/>
  <c r="E24" i="1"/>
  <c r="E107" i="1"/>
  <c r="E108" i="1"/>
  <c r="E109" i="1"/>
  <c r="E110" i="1"/>
  <c r="E111" i="1"/>
  <c r="E112" i="1"/>
  <c r="E113" i="1"/>
  <c r="E101" i="1"/>
  <c r="E104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52" i="1"/>
  <c r="E53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48" i="1"/>
  <c r="E16" i="1"/>
  <c r="E17" i="1"/>
  <c r="E18" i="1"/>
  <c r="E19" i="1"/>
  <c r="E20" i="1"/>
  <c r="E21" i="1"/>
  <c r="E23" i="1"/>
  <c r="E25" i="1"/>
  <c r="E26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4" i="1"/>
  <c r="E5" i="1"/>
  <c r="E6" i="1"/>
  <c r="E7" i="1"/>
  <c r="E8" i="1"/>
  <c r="E9" i="1"/>
  <c r="E10" i="1"/>
  <c r="E11" i="1"/>
  <c r="E12" i="1"/>
  <c r="E13" i="1"/>
  <c r="H99" i="1"/>
  <c r="H105" i="1"/>
  <c r="H97" i="1"/>
  <c r="H96" i="1"/>
  <c r="H95" i="1"/>
  <c r="H94" i="1"/>
  <c r="H93" i="1"/>
  <c r="H91" i="1"/>
  <c r="H90" i="1"/>
  <c r="H89" i="1"/>
  <c r="H88" i="1"/>
  <c r="H87" i="1"/>
  <c r="H86" i="1"/>
  <c r="H85" i="1"/>
  <c r="H84" i="1"/>
  <c r="H83" i="1"/>
  <c r="H82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48" i="1"/>
  <c r="H45" i="1"/>
  <c r="E45" i="1"/>
  <c r="H34" i="1"/>
  <c r="H32" i="1"/>
  <c r="H31" i="1"/>
  <c r="H30" i="1"/>
  <c r="H29" i="1"/>
  <c r="H28" i="1"/>
  <c r="H27" i="1"/>
  <c r="H26" i="1"/>
  <c r="H25" i="1"/>
  <c r="H23" i="1"/>
  <c r="H21" i="1"/>
  <c r="H20" i="1"/>
  <c r="H19" i="1"/>
  <c r="H16" i="1"/>
  <c r="H9" i="1"/>
  <c r="H8" i="1"/>
  <c r="H7" i="1"/>
  <c r="H6" i="1"/>
  <c r="H4" i="1"/>
  <c r="E75" i="2" l="1"/>
  <c r="E13" i="2"/>
  <c r="E39" i="2"/>
  <c r="E105" i="1"/>
  <c r="E80" i="1"/>
  <c r="E115" i="1" s="1"/>
  <c r="E114" i="1"/>
  <c r="E14" i="1"/>
  <c r="E99" i="1"/>
  <c r="E43" i="1"/>
  <c r="I2" i="1" l="1"/>
</calcChain>
</file>

<file path=xl/sharedStrings.xml><?xml version="1.0" encoding="utf-8"?>
<sst xmlns="http://schemas.openxmlformats.org/spreadsheetml/2006/main" count="398" uniqueCount="235">
  <si>
    <t>BOM</t>
  </si>
  <si>
    <t>Part</t>
  </si>
  <si>
    <t>Total needed</t>
  </si>
  <si>
    <t>Purchase</t>
  </si>
  <si>
    <t>Cost per</t>
  </si>
  <si>
    <t>Cost total</t>
  </si>
  <si>
    <t>URL</t>
  </si>
  <si>
    <t xml:space="preserve">Total: </t>
  </si>
  <si>
    <t>ADAFRUIT</t>
  </si>
  <si>
    <t>Adafruit Feather 32u4 RFM69HCW Packet Radio - 868 or 915 MHz - RadioFruit</t>
  </si>
  <si>
    <t>https://www.adafruit.com/product/5000</t>
  </si>
  <si>
    <t>Or you can Purchase Adafruit Feather Proto M0</t>
  </si>
  <si>
    <t>https://www.adafruit.com/product/2771</t>
  </si>
  <si>
    <t>Hall effect Sensor</t>
  </si>
  <si>
    <t>https://www.adafruit.com</t>
  </si>
  <si>
    <t>Assembled Adafruit HUZZAH32 – ESP32 Feather Board - with Stacking Headers</t>
  </si>
  <si>
    <t>MPU</t>
  </si>
  <si>
    <t>Trinket m0</t>
  </si>
  <si>
    <t>Header Kit for Feather - 12-pin and 16-pin Female Header Set</t>
  </si>
  <si>
    <t>https://www.adafruit.com/product/2886</t>
  </si>
  <si>
    <t>NeoPixel Diffused 5mm Through-Hole LED - 5 Pack</t>
  </si>
  <si>
    <t>https://www.adafruit.com/product/1938</t>
  </si>
  <si>
    <t>NeoPixel Jewel - 7 x 5050 RGB LED with Integrated Drivers</t>
  </si>
  <si>
    <t>https://www.adafruit.com/product/2226</t>
  </si>
  <si>
    <t>NeoPixel Stick - 8 x 5050 RGBW LEDs - Warm White - ~3000K</t>
  </si>
  <si>
    <t>https://www.adafruit.com/product/2867</t>
  </si>
  <si>
    <t>AMAZON</t>
  </si>
  <si>
    <t>12v Lithium Battery</t>
  </si>
  <si>
    <t>https://www.amazon.com</t>
  </si>
  <si>
    <t>12v Stronger Amperage</t>
  </si>
  <si>
    <t>https://www.ebay.com</t>
  </si>
  <si>
    <t>24v Lithium Battery (24V 28ah electric bicycle Li-ion battery 500W)</t>
  </si>
  <si>
    <t>300MM lazy susan</t>
  </si>
  <si>
    <t>https://www.amazon.com/gp/product/B01L8EHD6K/ref=ppx_yo_dt_b_search_asin_title?ie=UTF8&amp;psc=1</t>
  </si>
  <si>
    <t>608zz</t>
  </si>
  <si>
    <t>Amp</t>
  </si>
  <si>
    <t xml:space="preserve">power distribution and fuse system </t>
  </si>
  <si>
    <t>SOYOND Waterproof Fuse Block,fuse Box With Led Indicator Damp-proof Cover 12 Circuits With Negative Marine Fuse Block For Dc 12/24v Automotive Car Marine Boat RV Truck https://www.amazon.com/dp/B07HDZVW3P/ref=cm_sw_r_apan_glt_i_7QS5W1YG3QVTXY2HNNV5?_encoding=UTF8&amp;psc=1</t>
  </si>
  <si>
    <t>Fuse block</t>
  </si>
  <si>
    <t>Fuse block 12v 6-way</t>
  </si>
  <si>
    <t>https://www.amazon.com/gp/product/B07HDZVW3P/ref=ppx_yo_dt_b_search_asin_title?ie=UTF8&amp;psc=1</t>
  </si>
  <si>
    <t>Micro to A adapter</t>
  </si>
  <si>
    <r>
      <rPr>
        <u/>
        <sz val="10"/>
        <color rgb="FF000000"/>
        <rFont val="Helvetica Neue"/>
      </rPr>
      <t>https://www.amazon.com/Rankie-Female-Adapter-Convertor-3-Pack/dp/B00YOX4JU6/ref=sr_1_5?dchild=1&amp;keywords=usb+micro+to+a&amp;qid=1605115291&amp;sr=8-5</t>
    </r>
  </si>
  <si>
    <t>Pot (200k)</t>
  </si>
  <si>
    <t>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</t>
  </si>
  <si>
    <t>Power Remote On/Off Controller</t>
  </si>
  <si>
    <t>https://www.amazon.com/dp/B07P4DZ2JT?ref=ppx_pop_mob_ap_share&amp;fbclid=IwAR0Y2YoV4knb8Y1EO2xa4_k3FkLoVVx2kLqCoORXz7u3tUYBU5lXqbAnp0Y</t>
  </si>
  <si>
    <t>Power Switch (Optional)</t>
  </si>
  <si>
    <r>
      <rPr>
        <u/>
        <sz val="10"/>
        <color rgb="FF000000"/>
        <rFont val="Helvetica Neue"/>
      </rPr>
      <t>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</t>
    </r>
  </si>
  <si>
    <t>Servos (BB Series)</t>
  </si>
  <si>
    <t>https://www.amazon.com/PDI-HV2060MG-Voltage-Digital-Helicopter-Airplane/dp/B07PSLD9P9/ref=sr_1_9?dchild=1&amp;keywords=60kg+servo&amp;qid=1605115344&amp;sr=8-9</t>
  </si>
  <si>
    <t>Slipring</t>
  </si>
  <si>
    <r>
      <rPr>
        <u/>
        <sz val="10"/>
        <color rgb="FF000000"/>
        <rFont val="Helvetica Neue"/>
      </rPr>
      <t>https://www.amazon.com/Taidacent-Conductive-Collector-Electrical-Commutator/dp/B07NW9PT4P/ref=sr_1_8?dchild=1&amp;keywords=slip+ring&amp;qid=1605115570&amp;sr=8-8</t>
    </r>
  </si>
  <si>
    <t>Small Buck</t>
  </si>
  <si>
    <r>
      <rPr>
        <u/>
        <sz val="10"/>
        <color rgb="FF000000"/>
        <rFont val="Helvetica Neue"/>
      </rPr>
      <t>https://www.amazon.com/gp/product/B07CVBG8CT/ref=ppx_yo_dt_b_search_asin_title?ie=UTF8&amp;psc=1</t>
    </r>
  </si>
  <si>
    <t>Voltage Sensor</t>
  </si>
  <si>
    <r>
      <rPr>
        <u/>
        <sz val="10"/>
        <color rgb="FF000000"/>
        <rFont val="Helvetica Neue"/>
      </rPr>
      <t>https://www.amazon.com/HiLetgo-Voltage-Detection-Arduino-Electronic/dp/B01HTC4XKY/ref=sr_1_2?dchild=1&amp;keywords=voltage+sensor+arduino&amp;qid=1605114883&amp;s=hi&amp;sr=1-2</t>
    </r>
  </si>
  <si>
    <t>Worm gear motor (130rpm) (S2S)</t>
  </si>
  <si>
    <t>https://www.amazon.com/gp/product/B08KFX6XG8/ref=ewc_pr_img_1?smid=A2K5DI8VX12AN1&amp;th=1</t>
  </si>
  <si>
    <t>Worm gear motor (65rpm) (S2S)</t>
  </si>
  <si>
    <r>
      <rPr>
        <u/>
        <sz val="10"/>
        <color rgb="FF000000"/>
        <rFont val="Helvetica Neue"/>
      </rPr>
      <t>https://www.amazon.com/gp/product/B07KLMM49K/ref=ppx_yo_dt_b_search_asin_title?ie=UTF8&amp;psc=1</t>
    </r>
  </si>
  <si>
    <t>Transducers</t>
  </si>
  <si>
    <t>https://amzn.to/3qkbLBZ</t>
  </si>
  <si>
    <t>1" 3.5mm headphone cable (right angle)</t>
  </si>
  <si>
    <t>https://amzn.to/3swwPqX</t>
  </si>
  <si>
    <t>3.5 mm groud loop isolator</t>
  </si>
  <si>
    <t>https://amzn.to/2LSiDrh</t>
  </si>
  <si>
    <t>Female Pin Headers</t>
  </si>
  <si>
    <t>https://www.amazon.com/dp/B01DLX6RSQ/ref=cm_sw_r_cp_api_glt_fabc_ina53cGbVKJT0JX</t>
  </si>
  <si>
    <t>15 Sets JST XH 2.54MM 4 PIN Female Single Connector with 300mm Wire 1007 26AWG</t>
  </si>
  <si>
    <t>https://www.amazon.com/2-54MM-Female-Single-Connector-300mm/dp/B01IZAHR5M/ref=sr_1_27?dchild=1&amp;keywords=jst-xh&amp;qid=1625352683&amp;s=electronics&amp;sr=1-27</t>
  </si>
  <si>
    <t>20 PCS 3 PIN JST XH Female Connector on One Side - 200mm 1007 26 AWG &amp; 20 PCS 3 PIN JST XH Male Connector</t>
  </si>
  <si>
    <t>https://www.amazon.com/2-54MM-Female-Single-Connector-Wires/dp/B07FBHKY8G/ref=sr_1_6?dchild=1&amp;keywords=jst-xh+3+pin&amp;qid=1625353868&amp;s=electronics&amp;sr=1-6</t>
  </si>
  <si>
    <t>30 PCS 2 PIN JST XH Female Connector on Both Side - 200mm 1007 26 AWG &amp; 60 PCS 2 PIN JST XH Male Connector</t>
  </si>
  <si>
    <t>https://www.amazon.com/LATTECH-Female-Connector-Electric-Length/dp/B07NTY4972/ref=sr_1_19?dchild=1&amp;keywords=jst-xh+2+pin&amp;qid=1625353908&amp;s=electronics&amp;sr=1-19</t>
  </si>
  <si>
    <t>50cm Female to Female dupont</t>
  </si>
  <si>
    <t>Amazon.com: EDGELEC 120pcs 10cm Dupont Wire Female to Female Breadboard Jumper Wires 3.9 inch 1pin-1pin 2.54mm Connector Multicolored Ribbon Cables DIY Wires Length 10 15 20 30 40 50 100cm Optional: Home Audio &amp; Theater</t>
  </si>
  <si>
    <t>ANDYMARK</t>
  </si>
  <si>
    <t>NeveRest Classic 60 Gearmotor</t>
  </si>
  <si>
    <t>https://www.andymark.com/products/neverest-classic-60-gearmotor?Power%20Connector=Anderson%20Powerpole%2015A%20(am-3103)&amp;quantity=1</t>
  </si>
  <si>
    <t>JST-PH ENC Cable to breakouts</t>
  </si>
  <si>
    <t>https://www.andymark.com/products/hall-effect-encoder-cable-encoder-connector-to-split-end-connector</t>
  </si>
  <si>
    <t>DF ROBOT</t>
  </si>
  <si>
    <t>Motor Driver 12A</t>
  </si>
  <si>
    <r>
      <rPr>
        <u/>
        <sz val="10"/>
        <color rgb="FF000000"/>
        <rFont val="Helvetica Neue"/>
      </rPr>
      <t>https://www.dfrobot.com/product-1861.html</t>
    </r>
  </si>
  <si>
    <t>DFRDuino Player (i2C) MP3 playerwiki.dfrobot.com/DFRduino_Player__SKU_DFR0112_</t>
  </si>
  <si>
    <t>DFPlayer Pro MP3 Player Module for Voice Activated System | Arduino / Raspberry Pi - DFRobot</t>
  </si>
  <si>
    <t>DF Payer Mini</t>
  </si>
  <si>
    <t>MCMASTER CARR</t>
  </si>
  <si>
    <t>#4 screw x .5” (100pk)</t>
  </si>
  <si>
    <r>
      <rPr>
        <u/>
        <sz val="10"/>
        <color rgb="FF000000"/>
        <rFont val="Helvetica Neue"/>
      </rPr>
      <t>https://www.mcmaster.com/90190A108</t>
    </r>
  </si>
  <si>
    <t>#4 screw x .75” (100pk)</t>
  </si>
  <si>
    <r>
      <rPr>
        <u/>
        <sz val="10"/>
        <color rgb="FF000000"/>
        <rFont val="Helvetica Neue"/>
      </rPr>
      <t>https://www.mcmaster.com/90190A113</t>
    </r>
  </si>
  <si>
    <t>#4 screw 1/4" long (100pk)</t>
  </si>
  <si>
    <t>https://www.mcmaster.com/90190A106/</t>
  </si>
  <si>
    <t>#6 washers (100pk)</t>
  </si>
  <si>
    <r>
      <rPr>
        <u/>
        <sz val="10"/>
        <color rgb="FF000000"/>
        <rFont val="Helvetica Neue"/>
      </rPr>
      <t>https://www.mcmaster.com/92141A008</t>
    </r>
  </si>
  <si>
    <t>#10 nuts (100pk)</t>
  </si>
  <si>
    <r>
      <rPr>
        <u/>
        <sz val="10"/>
        <color rgb="FF000000"/>
        <rFont val="Helvetica Neue"/>
      </rPr>
      <t>https://www.mcmaster.com/91841A195</t>
    </r>
  </si>
  <si>
    <t>#10 rod ends (RH Thread)</t>
  </si>
  <si>
    <r>
      <rPr>
        <u/>
        <sz val="10"/>
        <color rgb="FF000000"/>
        <rFont val="Helvetica Neue"/>
      </rPr>
      <t>https://www.mcmaster.com/60645K31</t>
    </r>
  </si>
  <si>
    <t>#10 threaded rod (will cut to length)</t>
  </si>
  <si>
    <r>
      <rPr>
        <u/>
        <sz val="10"/>
        <color rgb="FF000000"/>
        <rFont val="Helvetica Neue"/>
      </rPr>
      <t>https://www.mcmaster.com/90032A048</t>
    </r>
  </si>
  <si>
    <t xml:space="preserve">#10 x 2” </t>
  </si>
  <si>
    <r>
      <rPr>
        <u/>
        <sz val="10"/>
        <color rgb="FF000000"/>
        <rFont val="Helvetica Neue"/>
      </rPr>
      <t>https://www.mcmaster.com/92949A275</t>
    </r>
  </si>
  <si>
    <t>1/4"-20 x 1” (50pk)</t>
  </si>
  <si>
    <r>
      <rPr>
        <u/>
        <sz val="10"/>
        <color rgb="FF000000"/>
        <rFont val="Helvetica Neue"/>
      </rPr>
      <t>https://www.mcmaster.com/92949A542</t>
    </r>
  </si>
  <si>
    <t>1/4”-20 x 7/16” (50pk)</t>
  </si>
  <si>
    <r>
      <rPr>
        <u/>
        <sz val="10"/>
        <color rgb="FF000000"/>
        <rFont val="Helvetica Neue"/>
      </rPr>
      <t>https://www.mcmaster.com/92949A833</t>
    </r>
  </si>
  <si>
    <t>6-32 x .375” (100pk)</t>
  </si>
  <si>
    <r>
      <rPr>
        <u/>
        <sz val="10"/>
        <color rgb="FF000000"/>
        <rFont val="Helvetica Neue"/>
      </rPr>
      <t>https://www.mcmaster.com/92949A146</t>
    </r>
  </si>
  <si>
    <t>6-32 x .5” (100pk)</t>
  </si>
  <si>
    <r>
      <rPr>
        <u/>
        <sz val="10"/>
        <color rgb="FF000000"/>
        <rFont val="Helvetica Neue"/>
      </rPr>
      <t>https://www.mcmaster.com/92949A148</t>
    </r>
  </si>
  <si>
    <t>6-32 x .75” (100pk)</t>
  </si>
  <si>
    <r>
      <rPr>
        <u/>
        <sz val="10"/>
        <color rgb="FF000000"/>
        <rFont val="Helvetica Neue"/>
      </rPr>
      <t>https://www.mcmaster.com/92949A151</t>
    </r>
  </si>
  <si>
    <t>6-32 x 1” (100pk)</t>
  </si>
  <si>
    <r>
      <rPr>
        <u/>
        <sz val="10"/>
        <color rgb="FF000000"/>
        <rFont val="Helvetica Neue"/>
      </rPr>
      <t>https://www.mcmaster.com/92949A153</t>
    </r>
  </si>
  <si>
    <t>10-32 square nuts (100pk)</t>
  </si>
  <si>
    <r>
      <rPr>
        <u/>
        <sz val="10"/>
        <color rgb="FF000000"/>
        <rFont val="Helvetica Neue"/>
      </rPr>
      <t>https://www.mcmaster.com/94855A283</t>
    </r>
  </si>
  <si>
    <t>10-32 x 1.25” FH (25pk)</t>
  </si>
  <si>
    <r>
      <rPr>
        <u/>
        <sz val="10"/>
        <color rgb="FF000000"/>
        <rFont val="Helvetica Neue"/>
      </rPr>
      <t>https://www.mcmaster.com/91253A012</t>
    </r>
  </si>
  <si>
    <t>10-32 x 2” flat head (10pk)</t>
  </si>
  <si>
    <r>
      <rPr>
        <u/>
        <sz val="10"/>
        <color rgb="FF000000"/>
        <rFont val="Helvetica Neue"/>
      </rPr>
      <t>https://www.mcmaster.com/90585A299</t>
    </r>
  </si>
  <si>
    <t>M3 lock nut (100pk)</t>
  </si>
  <si>
    <r>
      <rPr>
        <u/>
        <sz val="10"/>
        <color rgb="FF000000"/>
        <rFont val="Helvetica Neue"/>
      </rPr>
      <t>https://www.mcmaster.com/90576A102</t>
    </r>
  </si>
  <si>
    <t>M3 x 10 (100 pk)</t>
  </si>
  <si>
    <r>
      <rPr>
        <u/>
        <sz val="10"/>
        <color rgb="FF000000"/>
        <rFont val="Helvetica Neue"/>
      </rPr>
      <t>https://www.mcmaster.com/92095A182</t>
    </r>
  </si>
  <si>
    <t>M3 x 25mm (50pk)</t>
  </si>
  <si>
    <r>
      <rPr>
        <u/>
        <sz val="10"/>
        <color rgb="FF000000"/>
        <rFont val="Helvetica Neue"/>
      </rPr>
      <t>https://www.mcmaster.com/92095A186</t>
    </r>
  </si>
  <si>
    <t>M4 nut (100 pk)</t>
  </si>
  <si>
    <r>
      <rPr>
        <u/>
        <sz val="10"/>
        <color rgb="FF000000"/>
        <rFont val="Helvetica Neue"/>
      </rPr>
      <t>https://www.mcmaster.com/90592A090</t>
    </r>
  </si>
  <si>
    <t>M4 x 45mm (25pk)</t>
  </si>
  <si>
    <r>
      <rPr>
        <u/>
        <sz val="10"/>
        <color rgb="FF000000"/>
        <rFont val="Helvetica Neue"/>
      </rPr>
      <t>https://www.mcmaster.com/92095A205</t>
    </r>
  </si>
  <si>
    <t>M5 flange nut (100pk)</t>
  </si>
  <si>
    <r>
      <rPr>
        <u/>
        <sz val="10"/>
        <color rgb="FF000000"/>
        <rFont val="Helvetica Neue"/>
      </rPr>
      <t>https://www.mcmaster.com/97400A858</t>
    </r>
  </si>
  <si>
    <t>M5 x 35mm Flat Head (25pk)</t>
  </si>
  <si>
    <r>
      <rPr>
        <u/>
        <sz val="10"/>
        <color rgb="FF000000"/>
        <rFont val="Helvetica Neue"/>
      </rPr>
      <t>https://www.mcmaster.com/92125A222</t>
    </r>
  </si>
  <si>
    <t>M5 x 55 Flat Head (25pk)</t>
  </si>
  <si>
    <t>https://www.mcmaster.com/92125A218</t>
  </si>
  <si>
    <t>M8 lock nut (50pk)</t>
  </si>
  <si>
    <r>
      <rPr>
        <u/>
        <sz val="10"/>
        <color rgb="FF000000"/>
        <rFont val="Helvetica Neue"/>
      </rPr>
      <t>https://www.mcmaster.com/97131A140</t>
    </r>
  </si>
  <si>
    <t>M8 x 50mm (25pk)</t>
  </si>
  <si>
    <r>
      <rPr>
        <u/>
        <sz val="10"/>
        <color rgb="FF000000"/>
        <rFont val="Helvetica Neue"/>
      </rPr>
      <t>https://www.mcmaster.com/91280A546</t>
    </r>
  </si>
  <si>
    <t>M8 x 55mm (25pk)</t>
  </si>
  <si>
    <r>
      <rPr>
        <u/>
        <sz val="10"/>
        <color rgb="FF000000"/>
        <rFont val="Helvetica Neue"/>
      </rPr>
      <t>https://www.mcmaster.com/91280A548</t>
    </r>
  </si>
  <si>
    <t>SERVOCITY</t>
  </si>
  <si>
    <t>0.375" to 6mm Set Screw Shaft Coupler</t>
  </si>
  <si>
    <r>
      <rPr>
        <u/>
        <sz val="10"/>
        <color rgb="FF000000"/>
        <rFont val="Helvetica Neue"/>
      </rPr>
      <t>https://www.servocity.com/0-375-to-6mm-set-screw-shaft-coupler/</t>
    </r>
  </si>
  <si>
    <t>1” HD Hub</t>
  </si>
  <si>
    <r>
      <rPr>
        <u/>
        <sz val="10"/>
        <color rgb="FF000000"/>
        <rFont val="Helvetica Neue"/>
      </rPr>
      <t>https://www.servocity.com/1-bore-face-tapped-heavy-duty-clamping-hub-1-50-pattern/</t>
    </r>
  </si>
  <si>
    <t>1” ID bearing</t>
  </si>
  <si>
    <r>
      <rPr>
        <u/>
        <sz val="10"/>
        <color rgb="FF000000"/>
        <rFont val="Helvetica Neue"/>
      </rPr>
      <t>https://www.servocity.com/1-id-x-1-245-od-flanged-ball-bearing/</t>
    </r>
  </si>
  <si>
    <t>1” stainless tube cut to 6.75”</t>
  </si>
  <si>
    <r>
      <rPr>
        <u/>
        <sz val="10"/>
        <color rgb="FF000000"/>
        <rFont val="Helvetica Neue"/>
      </rPr>
      <t>https://www.servocity.com/1-00-x-8-00-stainless-steel-tubing/</t>
    </r>
  </si>
  <si>
    <r>
      <rPr>
        <u/>
        <sz val="10"/>
        <color rgb="FF000000"/>
        <rFont val="Helvetica Neue"/>
      </rPr>
      <t>https://www.servocity.com/118-rpm-hd-premium-planetary-gear-motor/</t>
    </r>
  </si>
  <si>
    <t>1621rpm motor (FlyWheel)</t>
  </si>
  <si>
    <r>
      <rPr>
        <u/>
        <sz val="10"/>
        <color rgb="FF000000"/>
        <rFont val="Helvetica Neue"/>
      </rPr>
      <t>https://www.servocity.com/1-621-rpm-hd-premium-planetary-gear-motor/</t>
    </r>
  </si>
  <si>
    <t>16t sprocket</t>
  </si>
  <si>
    <r>
      <rPr>
        <u/>
        <sz val="10"/>
        <color rgb="FF000000"/>
        <rFont val="Helvetica Neue"/>
      </rPr>
      <t>https://www.servocity.com/16-tooth-0-770-aluminum-hub-mount-sprocket-0-250-pitch/</t>
    </r>
  </si>
  <si>
    <t>3/8" alu, tube</t>
  </si>
  <si>
    <r>
      <rPr>
        <u/>
        <sz val="10"/>
        <color rgb="FF000000"/>
        <rFont val="Helvetica Neue"/>
      </rPr>
      <t>https://www.servocity.com/0-375-3-8-x-12-00-aluminum-tubing/</t>
    </r>
  </si>
  <si>
    <t>3/8" bore clamp</t>
  </si>
  <si>
    <r>
      <rPr>
        <u/>
        <sz val="10"/>
        <color rgb="FF000000"/>
        <rFont val="Helvetica Neue"/>
      </rPr>
      <t>https://www.servocity.com/0-375-0-770-clamping-hub/</t>
    </r>
  </si>
  <si>
    <t>3/8" ID x 5/8" OD Non-Flanged Ball Bearing (2pk)</t>
  </si>
  <si>
    <r>
      <rPr>
        <u/>
        <sz val="10"/>
        <color rgb="FF000000"/>
        <rFont val="Helvetica Neue"/>
      </rPr>
      <t>https://www.servocity.com/3-8-id-x-5-8-od-non-flanged-ball-bearing-2-pack/</t>
    </r>
  </si>
  <si>
    <t>Alternative via Active Robots website (UK)</t>
  </si>
  <si>
    <t>https://www.active-robots.com/1-4-id-x-1-2-od-non-flanged-ball-bearing-2-pack.html</t>
  </si>
  <si>
    <t>32mm clamp</t>
  </si>
  <si>
    <t>https://www.servocity.com/32mm-bore-bottom-tapped-clamping-mount/</t>
  </si>
  <si>
    <t>40t sprocket</t>
  </si>
  <si>
    <r>
      <rPr>
        <u/>
        <sz val="10"/>
        <color rgb="FF000000"/>
        <rFont val="Helvetica Neue"/>
      </rPr>
      <t>https://www.servocity.com/40-tooth-1-50-aluminum-hub-mount-sprockets-0-250-pitch/</t>
    </r>
  </si>
  <si>
    <t>6mm d hub</t>
  </si>
  <si>
    <t>8mm hub</t>
  </si>
  <si>
    <t>Chain</t>
  </si>
  <si>
    <r>
      <rPr>
        <u/>
        <sz val="10"/>
        <color rgb="FF000000"/>
        <rFont val="Helvetica Neue"/>
      </rPr>
      <t>https://www.servocity.com/0-250-chain-5-feet/</t>
    </r>
  </si>
  <si>
    <t>Chain Tool (breaker)</t>
  </si>
  <si>
    <t>https://www.servocity.com/0-250-pitch-chain-tool/</t>
  </si>
  <si>
    <t>SPARKFUN Electronics</t>
  </si>
  <si>
    <t>SparkFun Qwiic MP3 Trigger</t>
  </si>
  <si>
    <t>https://www.sparkfun.com/products/19030</t>
  </si>
  <si>
    <t>Qwiic Cable - Grove Adapter (100mm)</t>
  </si>
  <si>
    <t>https://www.sparkfun.com/products/15109</t>
  </si>
  <si>
    <t>POLOLU Robotics and Electronics</t>
  </si>
  <si>
    <t>Screw Terminal Block: 2-Pin, 5 mm Pitch</t>
  </si>
  <si>
    <t>https://www.pololu.com/product/2440</t>
  </si>
  <si>
    <t>5V, 3.2A Step-Down Voltage Regulator D36V28F5</t>
  </si>
  <si>
    <t>https://www.pololu.com/product/3782</t>
  </si>
  <si>
    <t>6V, 2.7A Step-Down Voltage Regulator D36V28F6</t>
  </si>
  <si>
    <t>https://www.pololu.com/product/3783</t>
  </si>
  <si>
    <t>9V, 2.6A Step-Down Voltage Regulator D36V28F9</t>
  </si>
  <si>
    <t>https://www.pololu.com/product/3785</t>
  </si>
  <si>
    <t>(2.54 mm) Female Header: 2x5-Pin, Straight</t>
  </si>
  <si>
    <t>https://www.pololu.com/product/1025</t>
  </si>
  <si>
    <t>(2.54 mm) Female Header: 1x5-Pin, Straight</t>
  </si>
  <si>
    <t>https://www.pololu.com/product/1015</t>
  </si>
  <si>
    <t>Total Cost:</t>
  </si>
  <si>
    <t>https://www.servocity.com/1309-series-sonic-hub-8mm-bore/</t>
  </si>
  <si>
    <t>https://www.servocity.com/1311-series-thru-hole-sonic-hub-6mm-d-bore/</t>
  </si>
  <si>
    <t>LilyPad MP3 - SparkFun Electronics</t>
  </si>
  <si>
    <t>118rpm motor (drive)</t>
  </si>
  <si>
    <t>https://www.servocity.com/3309-series-8mm-pitch-plastic-chain-50-links-400mm-black/</t>
  </si>
  <si>
    <t>Chain 3309 Series 8mm Pitch Plastic Chain</t>
  </si>
  <si>
    <t>3307 Series 8mm Pitch Steel Set-Screw Sprocket</t>
  </si>
  <si>
    <t>https://www.servocity.com/3307-series-8mm-pitch-steel-set-screw-sprocket-6mm-d-bore-10-tooth/</t>
  </si>
  <si>
    <t>https://www.servocity.com/3310-series-8mm-pitch-aluminum-hub-mount-sprocket-32mm-bore-42-tooth/</t>
  </si>
  <si>
    <t>Main Drive sprocket 32mm Bore, 42 Tooth</t>
  </si>
  <si>
    <t>ALTERNATE BOM 2025-2027</t>
  </si>
  <si>
    <t>Adafruit Feather 32u4 Basic Proto</t>
  </si>
  <si>
    <t>https://www.servocity.com/1302-series-clamping-hub-1-bore/</t>
  </si>
  <si>
    <t>1” HD Hub 1302</t>
  </si>
  <si>
    <t>S2SArm</t>
  </si>
  <si>
    <t>FlyWheelArm</t>
  </si>
  <si>
    <t>55 x 4mm bolts</t>
  </si>
  <si>
    <t>5 x 5mm bolts</t>
  </si>
  <si>
    <t>.5 x small screws</t>
  </si>
  <si>
    <t>1400 Series 1-Side, 2-Post Clamping Mount (32mm Bore) - ServoCity®</t>
  </si>
  <si>
    <t>SPROCKET/CHAIN</t>
  </si>
  <si>
    <t>PLASTIC MESH GEARING</t>
  </si>
  <si>
    <t>3/8" alu, tube (9.525mm)</t>
  </si>
  <si>
    <t>HEAD TILT ASSEMBLY</t>
  </si>
  <si>
    <t>23mm Bore Clamb Drive Motor Mount</t>
  </si>
  <si>
    <t>DRIVE / S2S and GYRO CONNECTIONS</t>
  </si>
  <si>
    <t>DFPlayer Mini MP3 Player for Arduino Best-selling Audio Module - DFRobot</t>
  </si>
  <si>
    <t>Speakers</t>
  </si>
  <si>
    <t>https://www.amazon.com/dp/B081169PC5?ref=ppx_yo2ov_dt_b_fed_asin_title</t>
  </si>
  <si>
    <t>https://www.aliexpress.us/item/3256803586373345.html?src=bing&amp;exp_tag=pcgcp&amp;albch=shopping&amp;acnt=135095331&amp;albcp=555220768&amp;albag=1309519513086509&amp;slnk=&amp;trgt=pla-2333644710943861&amp;plac=&amp;crea=81845026508678&amp;netw=o&amp;device=c&amp;mtctp=e&amp;utm_source=Bing&amp;utm_medium=shopping&amp;utm_campaign=PA_Bing_US_Pmax_ALL_TROAS_AESupply_24.12.17_%E5%85%A8%E5%93%81&amp;utm_content=US-ALL&amp;utm_term=JX+Servo+PDI-HV2060MG+62KG&amp;msclkid=a25513521f0e11cb35847993156bf083&amp;aff_fcid=19e0a6a6e72b41b6b3364cfae461c2b7-1791036016726-01630-UneMJZVf&amp;aff_fsk=UneMJZVf&amp;aff_platform=aaf&amp;sk=UneMJZVf&amp;aff_trace_key=19e0a6a6e72b41b6b3364cfae461c2b7-1791036016726-01630-UneMJZVf&amp;terminal_id=e69c6f3111d8487fb5e3fdf14f954409&amp;afSmartRedirect=n&amp;gatewayAdapt=glo2usa</t>
  </si>
  <si>
    <t>Stepdown 6v</t>
  </si>
  <si>
    <t>Amazon.com: DC-DC 6V 10A 60W Step-Down Converter 12V 24V to 6V Power Transformer Converter with Fuse, Waterproof Voltage Regulator… : Electronics</t>
  </si>
  <si>
    <t>Stepdown 5v</t>
  </si>
  <si>
    <t>SPARKFUN</t>
  </si>
  <si>
    <t>SparkFun Logic Level Converter - Bi-Directional | Step down 5V signals to 3.3V AND steps up 3.3V to 5V Board Dimensions: 0.63 x 0.52" (16.05 x 13.33mm): Amazon.com: Industrial &amp; Scientific</t>
  </si>
  <si>
    <t>Logic Level Shifter for v9.x boards</t>
  </si>
  <si>
    <t>https://www.amazon.com/dp/B00J3MHRNO?ref_=ppx_hzsearch_conn_dt_b_fed_asin_title_7&amp;th=1</t>
  </si>
  <si>
    <t>Amplifier</t>
  </si>
  <si>
    <t>Amazon.com: 2PCS TDA2050 DC 12-24V 5W-120W Mono Amplifier One Channel Mono Audio Amplifier Board Power Amplifier Board Module Mono Amplifier : Industrial &amp;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</si>
</sst>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0">
    <font>
      <sz val="10"/>
      <color rgb="FF000000"/>
      <name val="Helvetica Neue"/>
    </font>
    <font>
      <sz val="12"/>
      <color rgb="FF000000"/>
      <name val="Helvetica Neue"/>
    </font>
    <font>
      <b/>
      <sz val="10"/>
      <color rgb="FF000000"/>
      <name val="Helvetica Neue"/>
    </font>
    <font>
      <u/>
      <sz val="10"/>
      <color rgb="FF000000"/>
      <name val="Helvetica Neue"/>
    </font>
    <font>
      <sz val="10"/>
      <color rgb="FF000000"/>
      <name val="Helvetica Neue"/>
    </font>
    <font>
      <sz val="10"/>
      <color theme="1"/>
      <name val="Helvetica Neue"/>
    </font>
    <font>
      <b/>
      <u/>
      <sz val="10"/>
      <color rgb="FF000000"/>
      <name val="Helvetica Neue"/>
    </font>
    <font>
      <u/>
      <sz val="10"/>
      <color theme="10"/>
      <name val="Helvetica Neue"/>
    </font>
    <font>
      <b/>
      <sz val="14"/>
      <color rgb="FF000000"/>
      <name val="Helvetica Neue"/>
    </font>
    <font>
      <b/>
      <sz val="16"/>
      <color rgb="FF000000"/>
      <name val="Helvetica Neue"/>
    </font>
  </fonts>
  <fills count="11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DBDBDB"/>
        <bgColor rgb="FFDBDBDB"/>
      </patternFill>
    </fill>
    <fill>
      <patternFill patternType="solid">
        <fgColor theme="2" tint="-4.9989318521683403E-2"/>
        <bgColor rgb="FFDBDBDB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DBDBDB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A5A5A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2">
    <xf numFmtId="0" fontId="0" fillId="0" borderId="0" xfId="0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164" fontId="0" fillId="4" borderId="4" xfId="0" applyNumberFormat="1" applyFill="1" applyBorder="1" applyAlignment="1">
      <alignment vertical="top" wrapText="1"/>
    </xf>
    <xf numFmtId="49" fontId="0" fillId="4" borderId="4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 wrapText="1"/>
    </xf>
    <xf numFmtId="49" fontId="2" fillId="5" borderId="7" xfId="0" applyNumberFormat="1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49" fontId="6" fillId="4" borderId="7" xfId="0" applyNumberFormat="1" applyFont="1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164" fontId="0" fillId="4" borderId="9" xfId="0" applyNumberFormat="1" applyFill="1" applyBorder="1" applyAlignment="1">
      <alignment vertical="top" wrapText="1"/>
    </xf>
    <xf numFmtId="49" fontId="0" fillId="4" borderId="9" xfId="0" applyNumberFormat="1" applyFill="1" applyBorder="1" applyAlignment="1">
      <alignment vertical="top"/>
    </xf>
    <xf numFmtId="49" fontId="0" fillId="4" borderId="9" xfId="0" applyNumberForma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0" fillId="0" borderId="9" xfId="0" applyBorder="1" applyAlignment="1">
      <alignment vertical="top"/>
    </xf>
    <xf numFmtId="49" fontId="7" fillId="0" borderId="9" xfId="1" applyNumberFormat="1" applyBorder="1" applyAlignment="1">
      <alignment vertical="top"/>
    </xf>
    <xf numFmtId="0" fontId="0" fillId="0" borderId="14" xfId="0" applyBorder="1" applyAlignment="1">
      <alignment vertical="top" wrapText="1"/>
    </xf>
    <xf numFmtId="164" fontId="8" fillId="0" borderId="16" xfId="0" applyNumberFormat="1" applyFont="1" applyBorder="1" applyAlignment="1">
      <alignment vertical="top" wrapText="1"/>
    </xf>
    <xf numFmtId="0" fontId="8" fillId="0" borderId="15" xfId="0" applyFont="1" applyBorder="1" applyAlignment="1">
      <alignment horizontal="right" vertical="top"/>
    </xf>
    <xf numFmtId="0" fontId="0" fillId="0" borderId="13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0" borderId="0" xfId="0" applyAlignment="1">
      <alignment vertical="top"/>
    </xf>
    <xf numFmtId="0" fontId="7" fillId="0" borderId="9" xfId="1" applyBorder="1" applyAlignment="1">
      <alignment vertical="top"/>
    </xf>
    <xf numFmtId="49" fontId="2" fillId="5" borderId="7" xfId="0" applyNumberFormat="1" applyFont="1" applyFill="1" applyBorder="1" applyAlignment="1">
      <alignment horizontal="right" vertical="top" wrapText="1"/>
    </xf>
    <xf numFmtId="164" fontId="0" fillId="0" borderId="0" xfId="0" applyNumberFormat="1" applyAlignment="1">
      <alignment vertical="top" wrapText="1"/>
    </xf>
    <xf numFmtId="49" fontId="2" fillId="6" borderId="7" xfId="0" applyNumberFormat="1" applyFont="1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164" fontId="0" fillId="7" borderId="6" xfId="0" applyNumberFormat="1" applyFill="1" applyBorder="1" applyAlignment="1">
      <alignment vertical="top" wrapText="1"/>
    </xf>
    <xf numFmtId="49" fontId="7" fillId="7" borderId="6" xfId="1" applyNumberFormat="1" applyFill="1" applyBorder="1" applyAlignment="1">
      <alignment vertical="top"/>
    </xf>
    <xf numFmtId="0" fontId="0" fillId="7" borderId="17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164" fontId="0" fillId="7" borderId="18" xfId="0" applyNumberFormat="1" applyFill="1" applyBorder="1" applyAlignment="1">
      <alignment vertical="top" wrapText="1"/>
    </xf>
    <xf numFmtId="49" fontId="7" fillId="7" borderId="18" xfId="1" applyNumberForma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7" fillId="0" borderId="12" xfId="1" applyNumberFormat="1" applyBorder="1" applyAlignment="1">
      <alignment vertical="top"/>
    </xf>
    <xf numFmtId="0" fontId="7" fillId="0" borderId="0" xfId="1" applyAlignment="1">
      <alignment vertical="top" wrapText="1"/>
    </xf>
    <xf numFmtId="49" fontId="3" fillId="7" borderId="6" xfId="0" applyNumberFormat="1" applyFont="1" applyFill="1" applyBorder="1" applyAlignment="1">
      <alignment vertical="top" wrapText="1"/>
    </xf>
    <xf numFmtId="49" fontId="3" fillId="7" borderId="18" xfId="0" applyNumberFormat="1" applyFont="1" applyFill="1" applyBorder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49" fontId="3" fillId="0" borderId="11" xfId="0" applyNumberFormat="1" applyFont="1" applyBorder="1" applyAlignment="1">
      <alignment vertical="top"/>
    </xf>
    <xf numFmtId="0" fontId="7" fillId="0" borderId="0" xfId="1" applyBorder="1" applyAlignment="1">
      <alignment vertical="top"/>
    </xf>
    <xf numFmtId="49" fontId="3" fillId="0" borderId="12" xfId="0" applyNumberFormat="1" applyFont="1" applyBorder="1" applyAlignment="1">
      <alignment horizontal="left" vertical="top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vertical="top" wrapText="1"/>
    </xf>
    <xf numFmtId="49" fontId="7" fillId="0" borderId="12" xfId="1" applyNumberFormat="1" applyBorder="1" applyAlignment="1">
      <alignment horizontal="left" vertical="top" wrapText="1"/>
    </xf>
    <xf numFmtId="49" fontId="7" fillId="0" borderId="9" xfId="1" applyNumberFormat="1" applyBorder="1" applyAlignment="1">
      <alignment vertical="top" wrapText="1"/>
    </xf>
    <xf numFmtId="0" fontId="7" fillId="0" borderId="9" xfId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49" fontId="3" fillId="0" borderId="11" xfId="0" applyNumberFormat="1" applyFont="1" applyBorder="1" applyAlignment="1">
      <alignment vertical="top" wrapText="1"/>
    </xf>
    <xf numFmtId="0" fontId="0" fillId="8" borderId="8" xfId="0" applyFill="1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164" fontId="0" fillId="8" borderId="9" xfId="0" applyNumberFormat="1" applyFill="1" applyBorder="1" applyAlignment="1">
      <alignment vertical="top" wrapText="1"/>
    </xf>
    <xf numFmtId="49" fontId="7" fillId="8" borderId="9" xfId="1" applyNumberForma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7" fillId="8" borderId="0" xfId="1" applyFill="1" applyAlignme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left" vertical="top"/>
    </xf>
    <xf numFmtId="49" fontId="3" fillId="0" borderId="10" xfId="0" applyNumberFormat="1" applyFont="1" applyBorder="1" applyAlignment="1">
      <alignment horizontal="left" vertical="top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vertical="top" wrapText="1"/>
    </xf>
    <xf numFmtId="49" fontId="3" fillId="0" borderId="10" xfId="0" applyNumberFormat="1" applyFont="1" applyBorder="1" applyAlignment="1">
      <alignment vertical="top" wrapText="1"/>
    </xf>
    <xf numFmtId="49" fontId="7" fillId="0" borderId="12" xfId="1" applyNumberFormat="1" applyBorder="1" applyAlignment="1">
      <alignment horizontal="left" vertical="top" wrapText="1"/>
    </xf>
    <xf numFmtId="49" fontId="7" fillId="0" borderId="12" xfId="1" applyNumberFormat="1" applyBorder="1" applyAlignment="1">
      <alignment horizontal="left" vertical="top"/>
    </xf>
    <xf numFmtId="49" fontId="2" fillId="9" borderId="7" xfId="0" applyNumberFormat="1" applyFont="1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0" fillId="10" borderId="9" xfId="0" applyFill="1" applyBorder="1" applyAlignment="1">
      <alignment vertical="top" wrapText="1"/>
    </xf>
    <xf numFmtId="164" fontId="0" fillId="10" borderId="9" xfId="0" applyNumberFormat="1" applyFill="1" applyBorder="1" applyAlignment="1">
      <alignment vertical="top" wrapText="1"/>
    </xf>
    <xf numFmtId="49" fontId="3" fillId="10" borderId="9" xfId="0" applyNumberFormat="1" applyFont="1" applyFill="1" applyBorder="1" applyAlignment="1">
      <alignment vertical="top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164" fontId="0" fillId="0" borderId="6" xfId="0" applyNumberFormat="1" applyFill="1" applyBorder="1" applyAlignment="1">
      <alignment vertical="center" wrapText="1"/>
    </xf>
    <xf numFmtId="49" fontId="7" fillId="0" borderId="6" xfId="1" applyNumberForma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dp/B01DLX6RSQ/ref=cm_sw_r_cp_api_glt_fabc_ina53cGbVKJT0JX" TargetMode="External"/><Relationship Id="rId21" Type="http://schemas.openxmlformats.org/officeDocument/2006/relationships/hyperlink" Target="https://www.servocity.com/40-tooth-1-50-aluminum-hub-mount-sprockets-0-250-pitch/" TargetMode="External"/><Relationship Id="rId42" Type="http://schemas.openxmlformats.org/officeDocument/2006/relationships/hyperlink" Target="https://www.mcmaster.com/92949A153" TargetMode="External"/><Relationship Id="rId47" Type="http://schemas.openxmlformats.org/officeDocument/2006/relationships/hyperlink" Target="https://www.mcmaster.com/92949A542" TargetMode="External"/><Relationship Id="rId63" Type="http://schemas.openxmlformats.org/officeDocument/2006/relationships/hyperlink" Target="https://www.amazon.com/dp/B07P4DZ2JT?ref=ppx_pop_mob_ap_share&amp;fbclid=IwAR0Y2YoV4knb8Y1EO2xa4_k3FkLoVVx2kLqCoORXz7u3tUYBU5lXqbAnp0Y" TargetMode="External"/><Relationship Id="rId68" Type="http://schemas.openxmlformats.org/officeDocument/2006/relationships/hyperlink" Target="https://www.amazon.com/Sackorange-Skateboard-Bearings-Miniature-Bearings%EF%BC%88Pack/dp/B07216D1SZ/ref=sr_1_3?dchild=1&amp;keywords=608zz&amp;qid=1605652328&amp;sr=8-3" TargetMode="External"/><Relationship Id="rId84" Type="http://schemas.openxmlformats.org/officeDocument/2006/relationships/hyperlink" Target="https://www.pololu.com/product/3783" TargetMode="External"/><Relationship Id="rId16" Type="http://schemas.openxmlformats.org/officeDocument/2006/relationships/hyperlink" Target="https://www.servocity.com/16-tooth-0-770-aluminum-hub-mount-sprocket-0-250-pitch/" TargetMode="External"/><Relationship Id="rId11" Type="http://schemas.openxmlformats.org/officeDocument/2006/relationships/hyperlink" Target="https://www.servocity.com/1-bore-face-tapped-heavy-duty-clamping-hub-1-50-pattern/" TargetMode="External"/><Relationship Id="rId32" Type="http://schemas.openxmlformats.org/officeDocument/2006/relationships/hyperlink" Target="https://www.mcmaster.com/92125A222" TargetMode="External"/><Relationship Id="rId37" Type="http://schemas.openxmlformats.org/officeDocument/2006/relationships/hyperlink" Target="https://www.mcmaster.com/92095A182" TargetMode="External"/><Relationship Id="rId53" Type="http://schemas.openxmlformats.org/officeDocument/2006/relationships/hyperlink" Target="https://www.mcmaster.com/90190A106/" TargetMode="External"/><Relationship Id="rId58" Type="http://schemas.openxmlformats.org/officeDocument/2006/relationships/hyperlink" Target="https://www.amazon.com/HiLetgo-Voltage-Detection-Arduino-Electronic/dp/B01HTC4XKY/ref=sr_1_2?dchild=1&amp;keywords=voltage+sensor+arduino&amp;qid=1605114883&amp;s=hi&amp;sr=1-2" TargetMode="External"/><Relationship Id="rId74" Type="http://schemas.openxmlformats.org/officeDocument/2006/relationships/hyperlink" Target="https://www.active-robots.com/1-4-id-x-1-2-od-non-flanged-ball-bearing-2-pack.html" TargetMode="External"/><Relationship Id="rId79" Type="http://schemas.openxmlformats.org/officeDocument/2006/relationships/hyperlink" Target="https://www.amazon.com/2-54MM-Female-Single-Connector-300mm/dp/B01IZAHR5M/ref=sr_1_27?dchild=1&amp;keywords=jst-xh&amp;qid=1625352683&amp;s=electronics&amp;sr=1-27" TargetMode="External"/><Relationship Id="rId5" Type="http://schemas.openxmlformats.org/officeDocument/2006/relationships/hyperlink" Target="https://amzn.to/3swwPqX" TargetMode="External"/><Relationship Id="rId19" Type="http://schemas.openxmlformats.org/officeDocument/2006/relationships/hyperlink" Target="https://www.servocity.com/3-8-id-x-5-8-od-non-flanged-ball-bearing-2-pack/" TargetMode="External"/><Relationship Id="rId14" Type="http://schemas.openxmlformats.org/officeDocument/2006/relationships/hyperlink" Target="https://www.servocity.com/118-rpm-hd-premium-planetary-gear-motor/" TargetMode="External"/><Relationship Id="rId22" Type="http://schemas.openxmlformats.org/officeDocument/2006/relationships/hyperlink" Target="https://www.servocity.com/1311-series-thru-hole-sonic-hub-6mm-d-bore/" TargetMode="External"/><Relationship Id="rId27" Type="http://schemas.openxmlformats.org/officeDocument/2006/relationships/hyperlink" Target="https://www.andymark.com/products/hall-effect-encoder-cable-encoder-connector-to-split-end-connector" TargetMode="External"/><Relationship Id="rId30" Type="http://schemas.openxmlformats.org/officeDocument/2006/relationships/hyperlink" Target="https://www.mcmaster.com/97131A140" TargetMode="External"/><Relationship Id="rId35" Type="http://schemas.openxmlformats.org/officeDocument/2006/relationships/hyperlink" Target="https://www.mcmaster.com/90592A090" TargetMode="External"/><Relationship Id="rId43" Type="http://schemas.openxmlformats.org/officeDocument/2006/relationships/hyperlink" Target="https://www.mcmaster.com/92949A151" TargetMode="External"/><Relationship Id="rId48" Type="http://schemas.openxmlformats.org/officeDocument/2006/relationships/hyperlink" Target="https://www.mcmaster.com/92949A275" TargetMode="External"/><Relationship Id="rId56" Type="http://schemas.openxmlformats.org/officeDocument/2006/relationships/hyperlink" Target="https://www.adafruit.com/product/3619?gclid=CjwKCAjwlYCHBhAQEiwA4K21m4TpC7aGzgnD7XMSK_dWDlHQVGViO9ecgyYqRCS5WCzmNwtQRH3iVRoC4rAQAvD_BwE&amp;fbclid=IwAR0JMxfnqvg8s9OaVPiJ10IO5OeyOn4Zr-BntrRBuwo0qOLvueeUsuNvTqA" TargetMode="External"/><Relationship Id="rId64" Type="http://schemas.openxmlformats.org/officeDocument/2006/relationships/hyperlink" Target="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" TargetMode="External"/><Relationship Id="rId69" Type="http://schemas.openxmlformats.org/officeDocument/2006/relationships/hyperlink" Target="https://www.amazon.com/gp/product/B01L8EHD6K/ref=ppx_yo_dt_b_search_asin_title?ie=UTF8&amp;psc=1" TargetMode="External"/><Relationship Id="rId77" Type="http://schemas.openxmlformats.org/officeDocument/2006/relationships/hyperlink" Target="https://www.amazon.com/2-54MM-Female-Single-Connector-Wires/dp/B07FBHKY8G/ref=sr_1_6?dchild=1&amp;keywords=jst-xh+3+pin&amp;qid=1625353868&amp;s=electronics&amp;sr=1-6" TargetMode="External"/><Relationship Id="rId8" Type="http://schemas.openxmlformats.org/officeDocument/2006/relationships/hyperlink" Target="https://www.dfrobot.com/product-1861.html" TargetMode="External"/><Relationship Id="rId51" Type="http://schemas.openxmlformats.org/officeDocument/2006/relationships/hyperlink" Target="https://www.mcmaster.com/91841A195" TargetMode="External"/><Relationship Id="rId72" Type="http://schemas.openxmlformats.org/officeDocument/2006/relationships/hyperlink" Target="https://www.ebay.com/itm/313551938183?hash=item490126e287:g:gzQAAOSwZ6tfSGYj" TargetMode="External"/><Relationship Id="rId80" Type="http://schemas.openxmlformats.org/officeDocument/2006/relationships/hyperlink" Target="https://www.amazon.com/gp/product/B07HDZVW3P/ref=ppx_yo_dt_b_search_asin_title?ie=UTF8&amp;psc=1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adafruit.com/product/3886" TargetMode="External"/><Relationship Id="rId12" Type="http://schemas.openxmlformats.org/officeDocument/2006/relationships/hyperlink" Target="https://www.servocity.com/1-id-x-1-245-od-flanged-ball-bearing/" TargetMode="External"/><Relationship Id="rId17" Type="http://schemas.openxmlformats.org/officeDocument/2006/relationships/hyperlink" Target="https://www.servocity.com/0-375-3-8-x-12-00-aluminum-tubing/" TargetMode="External"/><Relationship Id="rId25" Type="http://schemas.openxmlformats.org/officeDocument/2006/relationships/hyperlink" Target="https://www.servocity.com/0-250-pitch-chain-tool/" TargetMode="External"/><Relationship Id="rId33" Type="http://schemas.openxmlformats.org/officeDocument/2006/relationships/hyperlink" Target="https://www.mcmaster.com/97400A858" TargetMode="External"/><Relationship Id="rId38" Type="http://schemas.openxmlformats.org/officeDocument/2006/relationships/hyperlink" Target="https://www.mcmaster.com/90576A102" TargetMode="External"/><Relationship Id="rId46" Type="http://schemas.openxmlformats.org/officeDocument/2006/relationships/hyperlink" Target="https://www.mcmaster.com/92949A833" TargetMode="External"/><Relationship Id="rId59" Type="http://schemas.openxmlformats.org/officeDocument/2006/relationships/hyperlink" Target="https://www.amazon.com/gp/product/B07CVBG8CT/ref=ppx_yo_dt_b_search_asin_title?ie=UTF8&amp;psc=1" TargetMode="External"/><Relationship Id="rId67" Type="http://schemas.openxmlformats.org/officeDocument/2006/relationships/hyperlink" Target="https://www.amazon.com/gp/product/B01N1UHTU1/ref=ppx_yo_dt_b_search_asin_title?ie=UTF8&amp;psc=1" TargetMode="External"/><Relationship Id="rId20" Type="http://schemas.openxmlformats.org/officeDocument/2006/relationships/hyperlink" Target="https://www.servocity.com/32mm-bore-bottom-tapped-clamping-mount/" TargetMode="External"/><Relationship Id="rId41" Type="http://schemas.openxmlformats.org/officeDocument/2006/relationships/hyperlink" Target="https://www.mcmaster.com/94855A283" TargetMode="External"/><Relationship Id="rId54" Type="http://schemas.openxmlformats.org/officeDocument/2006/relationships/hyperlink" Target="https://www.mcmaster.com/90190A113" TargetMode="External"/><Relationship Id="rId62" Type="http://schemas.openxmlformats.org/officeDocument/2006/relationships/hyperlink" Target="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" TargetMode="External"/><Relationship Id="rId70" Type="http://schemas.openxmlformats.org/officeDocument/2006/relationships/hyperlink" Target="https://www.amazon.com/gp/product/B00JK06CK8/ref=ppx_yo_dt_b_search_asin_title?ie=UTF8&amp;psc=1" TargetMode="External"/><Relationship Id="rId75" Type="http://schemas.openxmlformats.org/officeDocument/2006/relationships/hyperlink" Target="https://www.sparkfun.com/products/19030" TargetMode="External"/><Relationship Id="rId83" Type="http://schemas.openxmlformats.org/officeDocument/2006/relationships/hyperlink" Target="https://www.sparkfun.com/lilypad-mp3.html" TargetMode="External"/><Relationship Id="rId1" Type="http://schemas.openxmlformats.org/officeDocument/2006/relationships/hyperlink" Target="https://www.adafruit.com/product/5000" TargetMode="External"/><Relationship Id="rId6" Type="http://schemas.openxmlformats.org/officeDocument/2006/relationships/hyperlink" Target="https://amzn.to/2LSiDrh" TargetMode="External"/><Relationship Id="rId15" Type="http://schemas.openxmlformats.org/officeDocument/2006/relationships/hyperlink" Target="https://www.servocity.com/1-621-rpm-hd-premium-planetary-gear-motor/" TargetMode="External"/><Relationship Id="rId23" Type="http://schemas.openxmlformats.org/officeDocument/2006/relationships/hyperlink" Target="https://www.servocity.com/1309-series-sonic-hub-8mm-bore/" TargetMode="External"/><Relationship Id="rId28" Type="http://schemas.openxmlformats.org/officeDocument/2006/relationships/hyperlink" Target="https://www.mcmaster.com/91280A548" TargetMode="External"/><Relationship Id="rId36" Type="http://schemas.openxmlformats.org/officeDocument/2006/relationships/hyperlink" Target="https://www.mcmaster.com/92095A186" TargetMode="External"/><Relationship Id="rId49" Type="http://schemas.openxmlformats.org/officeDocument/2006/relationships/hyperlink" Target="https://www.mcmaster.com/90032A048" TargetMode="External"/><Relationship Id="rId57" Type="http://schemas.openxmlformats.org/officeDocument/2006/relationships/hyperlink" Target="https://www.amazon.com/gp/product/B07KLMM49K/ref=ppx_yo_dt_b_search_asin_title?ie=UTF8&amp;psc=1" TargetMode="External"/><Relationship Id="rId10" Type="http://schemas.openxmlformats.org/officeDocument/2006/relationships/hyperlink" Target="https://www.servocity.com/0-375-to-6mm-set-screw-shaft-coupler/" TargetMode="External"/><Relationship Id="rId31" Type="http://schemas.openxmlformats.org/officeDocument/2006/relationships/hyperlink" Target="https://www.mcmaster.com/92125A218" TargetMode="External"/><Relationship Id="rId44" Type="http://schemas.openxmlformats.org/officeDocument/2006/relationships/hyperlink" Target="https://www.mcmaster.com/92949A148" TargetMode="External"/><Relationship Id="rId52" Type="http://schemas.openxmlformats.org/officeDocument/2006/relationships/hyperlink" Target="https://www.mcmaster.com/92141A008" TargetMode="External"/><Relationship Id="rId60" Type="http://schemas.openxmlformats.org/officeDocument/2006/relationships/hyperlink" Target="https://www.amazon.com/Taidacent-Conductive-Collector-Electrical-Commutator/dp/B07NW9PT4P/ref=sr_1_8?dchild=1&amp;keywords=slip+ring&amp;qid=1605115570&amp;sr=8-8" TargetMode="External"/><Relationship Id="rId65" Type="http://schemas.openxmlformats.org/officeDocument/2006/relationships/hyperlink" Target="https://www.amazon.com/Rankie-Female-Adapter-Convertor-3-Pack/dp/B00YOX4JU6/ref=sr_1_5?dchild=1&amp;keywords=usb+micro+to+a&amp;qid=1605115291&amp;sr=8-5" TargetMode="External"/><Relationship Id="rId73" Type="http://schemas.openxmlformats.org/officeDocument/2006/relationships/hyperlink" Target="https://www.ebay.com/itm/373419267114?hash=item56f185d42a:g:5cYAAOSwmCxfzxCO" TargetMode="External"/><Relationship Id="rId78" Type="http://schemas.openxmlformats.org/officeDocument/2006/relationships/hyperlink" Target="https://www.pololu.com/product/2440" TargetMode="External"/><Relationship Id="rId81" Type="http://schemas.openxmlformats.org/officeDocument/2006/relationships/hyperlink" Target="https://www.amazon.com/gp/product/B08KFX6XG8/ref=ewc_pr_img_1?smid=A2K5DI8VX12AN1&amp;th=1" TargetMode="External"/><Relationship Id="rId4" Type="http://schemas.openxmlformats.org/officeDocument/2006/relationships/hyperlink" Target="https://amzn.to/3qkbLBZ" TargetMode="External"/><Relationship Id="rId9" Type="http://schemas.openxmlformats.org/officeDocument/2006/relationships/hyperlink" Target="https://www.mcmaster.com/90190A108" TargetMode="External"/><Relationship Id="rId13" Type="http://schemas.openxmlformats.org/officeDocument/2006/relationships/hyperlink" Target="https://www.servocity.com/1-00-x-8-00-stainless-steel-tubing/" TargetMode="External"/><Relationship Id="rId18" Type="http://schemas.openxmlformats.org/officeDocument/2006/relationships/hyperlink" Target="https://www.servocity.com/0-375-0-770-clamping-hub/" TargetMode="External"/><Relationship Id="rId39" Type="http://schemas.openxmlformats.org/officeDocument/2006/relationships/hyperlink" Target="https://www.mcmaster.com/90585A299" TargetMode="External"/><Relationship Id="rId34" Type="http://schemas.openxmlformats.org/officeDocument/2006/relationships/hyperlink" Target="https://www.mcmaster.com/92095A205" TargetMode="External"/><Relationship Id="rId50" Type="http://schemas.openxmlformats.org/officeDocument/2006/relationships/hyperlink" Target="https://www.mcmaster.com/60645K31" TargetMode="External"/><Relationship Id="rId55" Type="http://schemas.openxmlformats.org/officeDocument/2006/relationships/hyperlink" Target="https://www.amazon.com/EDGELEC-Breadboard-1pin-1pin-Connector-Multicolored/dp/B07GCZBH51/ref=sr_1_6?dchild=1&amp;keywords=Dupont%2B2.54mm%2B2-Pin%2BTwisted%2Bon%2BFemale%2Bto%2BFemale&amp;qid=1623348565&amp;sr=8-6&amp;th=1" TargetMode="External"/><Relationship Id="rId76" Type="http://schemas.openxmlformats.org/officeDocument/2006/relationships/hyperlink" Target="https://www.sparkfun.com/products/15109" TargetMode="External"/><Relationship Id="rId7" Type="http://schemas.openxmlformats.org/officeDocument/2006/relationships/hyperlink" Target="https://www.andymark.com/products/neverest-classic-60-gearmotor?Power%20Connector=Anderson%20Powerpole%2015A%20(am-3103)&amp;quantity=1" TargetMode="External"/><Relationship Id="rId71" Type="http://schemas.openxmlformats.org/officeDocument/2006/relationships/hyperlink" Target="https://www.adafruit.com/product/3500" TargetMode="External"/><Relationship Id="rId2" Type="http://schemas.openxmlformats.org/officeDocument/2006/relationships/hyperlink" Target="https://www.adafruit.com/product/158" TargetMode="External"/><Relationship Id="rId29" Type="http://schemas.openxmlformats.org/officeDocument/2006/relationships/hyperlink" Target="https://www.mcmaster.com/91280A546" TargetMode="External"/><Relationship Id="rId24" Type="http://schemas.openxmlformats.org/officeDocument/2006/relationships/hyperlink" Target="https://www.servocity.com/0-250-chain-5-feet/" TargetMode="External"/><Relationship Id="rId40" Type="http://schemas.openxmlformats.org/officeDocument/2006/relationships/hyperlink" Target="https://www.mcmaster.com/91253A012" TargetMode="External"/><Relationship Id="rId45" Type="http://schemas.openxmlformats.org/officeDocument/2006/relationships/hyperlink" Target="https://www.mcmaster.com/92949A146" TargetMode="External"/><Relationship Id="rId66" Type="http://schemas.openxmlformats.org/officeDocument/2006/relationships/hyperlink" Target="https://www.amazon.com/WATERWICH-Standard-Circuit-Waterproof-Protection/dp/B07CWNTJL5/ref=sr_1_7?dchild=1&amp;keywords=4+way+fuse+block&amp;qid=1609882320&amp;sr=8-7" TargetMode="External"/><Relationship Id="rId61" Type="http://schemas.openxmlformats.org/officeDocument/2006/relationships/hyperlink" Target="https://www.amazon.com/PDI-HV2060MG-Voltage-Digital-Helicopter-Airplane/dp/B07PSLD9P9/ref=sr_1_9?dchild=1&amp;keywords=60kg+servo&amp;qid=1605115344&amp;sr=8-9" TargetMode="External"/><Relationship Id="rId82" Type="http://schemas.openxmlformats.org/officeDocument/2006/relationships/hyperlink" Target="https://www.dfrobot.com/product-2232.html?srsltid=AfmBOoqe91qfIf4NW-xYM5p8uhURYQujaHqILMpnP_BOOO3luTy8l6jR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cmaster.com/92125A218" TargetMode="External"/><Relationship Id="rId21" Type="http://schemas.openxmlformats.org/officeDocument/2006/relationships/hyperlink" Target="https://www.amazon.com/dp/B01DLX6RSQ/ref=cm_sw_r_cp_api_glt_fabc_ina53cGbVKJT0JX" TargetMode="External"/><Relationship Id="rId42" Type="http://schemas.openxmlformats.org/officeDocument/2006/relationships/hyperlink" Target="https://www.mcmaster.com/92949A542" TargetMode="External"/><Relationship Id="rId47" Type="http://schemas.openxmlformats.org/officeDocument/2006/relationships/hyperlink" Target="https://www.mcmaster.com/92141A008" TargetMode="External"/><Relationship Id="rId63" Type="http://schemas.openxmlformats.org/officeDocument/2006/relationships/hyperlink" Target="https://www.adafruit.com/product/3500" TargetMode="External"/><Relationship Id="rId68" Type="http://schemas.openxmlformats.org/officeDocument/2006/relationships/hyperlink" Target="https://www.amazon.com/gp/product/B07HDZVW3P/ref=ppx_yo_dt_b_search_asin_title?ie=UTF8&amp;psc=1" TargetMode="External"/><Relationship Id="rId16" Type="http://schemas.openxmlformats.org/officeDocument/2006/relationships/hyperlink" Target="https://www.servocity.com/3-8-id-x-5-8-od-non-flanged-ball-bearing-2-pack/" TargetMode="External"/><Relationship Id="rId11" Type="http://schemas.openxmlformats.org/officeDocument/2006/relationships/hyperlink" Target="https://www.servocity.com/118-rpm-hd-premium-planetary-gear-motor/" TargetMode="External"/><Relationship Id="rId24" Type="http://schemas.openxmlformats.org/officeDocument/2006/relationships/hyperlink" Target="https://www.mcmaster.com/91280A546" TargetMode="External"/><Relationship Id="rId32" Type="http://schemas.openxmlformats.org/officeDocument/2006/relationships/hyperlink" Target="https://www.mcmaster.com/92095A182" TargetMode="External"/><Relationship Id="rId37" Type="http://schemas.openxmlformats.org/officeDocument/2006/relationships/hyperlink" Target="https://www.mcmaster.com/92949A153" TargetMode="External"/><Relationship Id="rId40" Type="http://schemas.openxmlformats.org/officeDocument/2006/relationships/hyperlink" Target="https://www.mcmaster.com/92949A146" TargetMode="External"/><Relationship Id="rId45" Type="http://schemas.openxmlformats.org/officeDocument/2006/relationships/hyperlink" Target="https://www.mcmaster.com/60645K31" TargetMode="External"/><Relationship Id="rId53" Type="http://schemas.openxmlformats.org/officeDocument/2006/relationships/hyperlink" Target="https://www.amazon.com/PDI-HV2060MG-Voltage-Digital-Helicopter-Airplane/dp/B07PSLD9P9/ref=sr_1_9?dchild=1&amp;keywords=60kg+servo&amp;qid=1605115344&amp;sr=8-9" TargetMode="External"/><Relationship Id="rId58" Type="http://schemas.openxmlformats.org/officeDocument/2006/relationships/hyperlink" Target="https://www.amazon.com/WATERWICH-Standard-Circuit-Waterproof-Protection/dp/B07CWNTJL5/ref=sr_1_7?dchild=1&amp;keywords=4+way+fuse+block&amp;qid=1609882320&amp;sr=8-7" TargetMode="External"/><Relationship Id="rId66" Type="http://schemas.openxmlformats.org/officeDocument/2006/relationships/hyperlink" Target="https://www.amazon.com/2-54MM-Female-Single-Connector-Wires/dp/B07FBHKY8G/ref=sr_1_6?dchild=1&amp;keywords=jst-xh+3+pin&amp;qid=1625353868&amp;s=electronics&amp;sr=1-6" TargetMode="External"/><Relationship Id="rId74" Type="http://schemas.openxmlformats.org/officeDocument/2006/relationships/hyperlink" Target="https://www.dfrobot.com/product-1121.html" TargetMode="External"/><Relationship Id="rId5" Type="http://schemas.openxmlformats.org/officeDocument/2006/relationships/hyperlink" Target="https://www.andymark.com/products/neverest-classic-60-gearmotor?Power%20Connector=Anderson%20Powerpole%2015A%20(am-3103)&amp;quantity=1" TargetMode="External"/><Relationship Id="rId61" Type="http://schemas.openxmlformats.org/officeDocument/2006/relationships/hyperlink" Target="https://www.amazon.com/gp/product/B01L8EHD6K/ref=ppx_yo_dt_b_search_asin_title?ie=UTF8&amp;psc=1" TargetMode="External"/><Relationship Id="rId19" Type="http://schemas.openxmlformats.org/officeDocument/2006/relationships/hyperlink" Target="https://www.servocity.com/3309-series-8mm-pitch-plastic-chain-50-links-400mm-black/" TargetMode="External"/><Relationship Id="rId14" Type="http://schemas.openxmlformats.org/officeDocument/2006/relationships/hyperlink" Target="https://www.servocity.com/0-375-3-8-x-12-00-aluminum-tubing/" TargetMode="External"/><Relationship Id="rId22" Type="http://schemas.openxmlformats.org/officeDocument/2006/relationships/hyperlink" Target="https://www.andymark.com/products/hall-effect-encoder-cable-encoder-connector-to-split-end-connector" TargetMode="External"/><Relationship Id="rId27" Type="http://schemas.openxmlformats.org/officeDocument/2006/relationships/hyperlink" Target="https://www.mcmaster.com/92125A222" TargetMode="External"/><Relationship Id="rId30" Type="http://schemas.openxmlformats.org/officeDocument/2006/relationships/hyperlink" Target="https://www.mcmaster.com/90592A090" TargetMode="External"/><Relationship Id="rId35" Type="http://schemas.openxmlformats.org/officeDocument/2006/relationships/hyperlink" Target="https://www.mcmaster.com/91253A012" TargetMode="External"/><Relationship Id="rId43" Type="http://schemas.openxmlformats.org/officeDocument/2006/relationships/hyperlink" Target="https://www.mcmaster.com/92949A275" TargetMode="External"/><Relationship Id="rId48" Type="http://schemas.openxmlformats.org/officeDocument/2006/relationships/hyperlink" Target="https://www.mcmaster.com/90190A106/" TargetMode="External"/><Relationship Id="rId56" Type="http://schemas.openxmlformats.org/officeDocument/2006/relationships/hyperlink" Target="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" TargetMode="External"/><Relationship Id="rId64" Type="http://schemas.openxmlformats.org/officeDocument/2006/relationships/hyperlink" Target="https://www.ebay.com/itm/313551938183?hash=item490126e287:g:gzQAAOSwZ6tfSGYj" TargetMode="External"/><Relationship Id="rId69" Type="http://schemas.openxmlformats.org/officeDocument/2006/relationships/hyperlink" Target="https://www.amazon.com/gp/product/B08KFX6XG8/ref=ewc_pr_img_1?smid=A2K5DI8VX12AN1&amp;th=1" TargetMode="External"/><Relationship Id="rId77" Type="http://schemas.openxmlformats.org/officeDocument/2006/relationships/hyperlink" Target="https://www.amazon.com/dp/B0DMFC6D2G?ref=ppx_yo2ov_dt_b_fed_asin_title" TargetMode="External"/><Relationship Id="rId8" Type="http://schemas.openxmlformats.org/officeDocument/2006/relationships/hyperlink" Target="https://www.servocity.com/0-375-to-6mm-set-screw-shaft-coupler/" TargetMode="External"/><Relationship Id="rId51" Type="http://schemas.openxmlformats.org/officeDocument/2006/relationships/hyperlink" Target="https://www.adafruit.com/product/3619?gclid=CjwKCAjwlYCHBhAQEiwA4K21m4TpC7aGzgnD7XMSK_dWDlHQVGViO9ecgyYqRCS5WCzmNwtQRH3iVRoC4rAQAvD_BwE&amp;fbclid=IwAR0JMxfnqvg8s9OaVPiJ10IO5OeyOn4Zr-BntrRBuwo0qOLvueeUsuNvTqA" TargetMode="External"/><Relationship Id="rId72" Type="http://schemas.openxmlformats.org/officeDocument/2006/relationships/hyperlink" Target="https://www.servocity.com/1302-series-clamping-hub-1-bore/" TargetMode="External"/><Relationship Id="rId3" Type="http://schemas.openxmlformats.org/officeDocument/2006/relationships/hyperlink" Target="https://www.adafruit.com/product/3886" TargetMode="External"/><Relationship Id="rId12" Type="http://schemas.openxmlformats.org/officeDocument/2006/relationships/hyperlink" Target="https://www.servocity.com/1-621-rpm-hd-premium-planetary-gear-motor/" TargetMode="External"/><Relationship Id="rId17" Type="http://schemas.openxmlformats.org/officeDocument/2006/relationships/hyperlink" Target="https://www.servocity.com/1311-series-thru-hole-sonic-hub-6mm-d-bore/" TargetMode="External"/><Relationship Id="rId25" Type="http://schemas.openxmlformats.org/officeDocument/2006/relationships/hyperlink" Target="https://www.mcmaster.com/97131A140" TargetMode="External"/><Relationship Id="rId33" Type="http://schemas.openxmlformats.org/officeDocument/2006/relationships/hyperlink" Target="https://www.mcmaster.com/90576A102" TargetMode="External"/><Relationship Id="rId38" Type="http://schemas.openxmlformats.org/officeDocument/2006/relationships/hyperlink" Target="https://www.mcmaster.com/92949A151" TargetMode="External"/><Relationship Id="rId46" Type="http://schemas.openxmlformats.org/officeDocument/2006/relationships/hyperlink" Target="https://www.mcmaster.com/91841A195" TargetMode="External"/><Relationship Id="rId59" Type="http://schemas.openxmlformats.org/officeDocument/2006/relationships/hyperlink" Target="https://www.amazon.com/gp/product/B01N1UHTU1/ref=ppx_yo_dt_b_search_asin_title?ie=UTF8&amp;psc=1" TargetMode="External"/><Relationship Id="rId67" Type="http://schemas.openxmlformats.org/officeDocument/2006/relationships/hyperlink" Target="https://www.amazon.com/2-54MM-Female-Single-Connector-300mm/dp/B01IZAHR5M/ref=sr_1_27?dchild=1&amp;keywords=jst-xh&amp;qid=1625352683&amp;s=electronics&amp;sr=1-27" TargetMode="External"/><Relationship Id="rId20" Type="http://schemas.openxmlformats.org/officeDocument/2006/relationships/hyperlink" Target="https://www.servocity.com/0-250-pitch-chain-tool/" TargetMode="External"/><Relationship Id="rId41" Type="http://schemas.openxmlformats.org/officeDocument/2006/relationships/hyperlink" Target="https://www.mcmaster.com/92949A833" TargetMode="External"/><Relationship Id="rId54" Type="http://schemas.openxmlformats.org/officeDocument/2006/relationships/hyperlink" Target="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" TargetMode="External"/><Relationship Id="rId62" Type="http://schemas.openxmlformats.org/officeDocument/2006/relationships/hyperlink" Target="https://www.amazon.com/gp/product/B00JK06CK8/ref=ppx_yo_dt_b_search_asin_title?ie=UTF8&amp;psc=1" TargetMode="External"/><Relationship Id="rId70" Type="http://schemas.openxmlformats.org/officeDocument/2006/relationships/hyperlink" Target="https://www.servocity.com/3310-series-8mm-pitch-aluminum-hub-mount-sprocket-32mm-bore-42-tooth/" TargetMode="External"/><Relationship Id="rId75" Type="http://schemas.openxmlformats.org/officeDocument/2006/relationships/hyperlink" Target="https://www.amazon.com/dp/B0CPQ78W91?ref_=ppx_hzsearch_conn_dt_b_fed_asin_title_3&amp;th=1" TargetMode="External"/><Relationship Id="rId1" Type="http://schemas.openxmlformats.org/officeDocument/2006/relationships/hyperlink" Target="https://www.adafruit.com/product/2771" TargetMode="External"/><Relationship Id="rId6" Type="http://schemas.openxmlformats.org/officeDocument/2006/relationships/hyperlink" Target="https://www.dfrobot.com/product-1861.html" TargetMode="External"/><Relationship Id="rId15" Type="http://schemas.openxmlformats.org/officeDocument/2006/relationships/hyperlink" Target="https://www.servocity.com/0-375-0-770-clamping-hub/" TargetMode="External"/><Relationship Id="rId23" Type="http://schemas.openxmlformats.org/officeDocument/2006/relationships/hyperlink" Target="https://www.mcmaster.com/91280A548" TargetMode="External"/><Relationship Id="rId28" Type="http://schemas.openxmlformats.org/officeDocument/2006/relationships/hyperlink" Target="https://www.mcmaster.com/97400A858" TargetMode="External"/><Relationship Id="rId36" Type="http://schemas.openxmlformats.org/officeDocument/2006/relationships/hyperlink" Target="https://www.mcmaster.com/94855A283" TargetMode="External"/><Relationship Id="rId49" Type="http://schemas.openxmlformats.org/officeDocument/2006/relationships/hyperlink" Target="https://www.mcmaster.com/90190A113" TargetMode="External"/><Relationship Id="rId57" Type="http://schemas.openxmlformats.org/officeDocument/2006/relationships/hyperlink" Target="https://www.amazon.com/Rankie-Female-Adapter-Convertor-3-Pack/dp/B00YOX4JU6/ref=sr_1_5?dchild=1&amp;keywords=usb+micro+to+a&amp;qid=1605115291&amp;sr=8-5" TargetMode="External"/><Relationship Id="rId10" Type="http://schemas.openxmlformats.org/officeDocument/2006/relationships/hyperlink" Target="https://www.servocity.com/1-00-x-8-00-stainless-steel-tubing/" TargetMode="External"/><Relationship Id="rId31" Type="http://schemas.openxmlformats.org/officeDocument/2006/relationships/hyperlink" Target="https://www.mcmaster.com/92095A186" TargetMode="External"/><Relationship Id="rId44" Type="http://schemas.openxmlformats.org/officeDocument/2006/relationships/hyperlink" Target="https://www.mcmaster.com/90032A048" TargetMode="External"/><Relationship Id="rId52" Type="http://schemas.openxmlformats.org/officeDocument/2006/relationships/hyperlink" Target="https://www.amazon.com/dp/B00J3MHRNO?ref_=ppx_hzsearch_conn_dt_b_fed_asin_title_7&amp;th=1" TargetMode="External"/><Relationship Id="rId60" Type="http://schemas.openxmlformats.org/officeDocument/2006/relationships/hyperlink" Target="https://www.amazon.com/Sackorange-Skateboard-Bearings-Miniature-Bearings%EF%BC%88Pack/dp/B07216D1SZ/ref=sr_1_3?dchild=1&amp;keywords=608zz&amp;qid=1605652328&amp;sr=8-3" TargetMode="External"/><Relationship Id="rId65" Type="http://schemas.openxmlformats.org/officeDocument/2006/relationships/hyperlink" Target="https://www.ebay.com/itm/373419267114?hash=item56f185d42a:g:5cYAAOSwmCxfzxCO" TargetMode="External"/><Relationship Id="rId73" Type="http://schemas.openxmlformats.org/officeDocument/2006/relationships/hyperlink" Target="https://www.servocity.com/1302-series-clamping-hub-1-bore/" TargetMode="External"/><Relationship Id="rId4" Type="http://schemas.openxmlformats.org/officeDocument/2006/relationships/hyperlink" Target="https://www.amazon.com/dp/B081169PC5?ref=ppx_yo2ov_dt_b_fed_asin_title" TargetMode="External"/><Relationship Id="rId9" Type="http://schemas.openxmlformats.org/officeDocument/2006/relationships/hyperlink" Target="https://www.servocity.com/1-id-x-1-245-od-flanged-ball-bearing/" TargetMode="External"/><Relationship Id="rId13" Type="http://schemas.openxmlformats.org/officeDocument/2006/relationships/hyperlink" Target="https://www.servocity.com/3307-series-8mm-pitch-steel-set-screw-sprocket-6mm-d-bore-10-tooth/" TargetMode="External"/><Relationship Id="rId18" Type="http://schemas.openxmlformats.org/officeDocument/2006/relationships/hyperlink" Target="https://www.servocity.com/1309-series-sonic-hub-8mm-bore/" TargetMode="External"/><Relationship Id="rId39" Type="http://schemas.openxmlformats.org/officeDocument/2006/relationships/hyperlink" Target="https://www.mcmaster.com/92949A148" TargetMode="External"/><Relationship Id="rId34" Type="http://schemas.openxmlformats.org/officeDocument/2006/relationships/hyperlink" Target="https://www.mcmaster.com/90585A299" TargetMode="External"/><Relationship Id="rId50" Type="http://schemas.openxmlformats.org/officeDocument/2006/relationships/hyperlink" Target="https://www.amazon.com/EDGELEC-Breadboard-1pin-1pin-Connector-Multicolored/dp/B07GCZBH51/ref=sr_1_6?dchild=1&amp;keywords=Dupont%2B2.54mm%2B2-Pin%2BTwisted%2Bon%2BFemale%2Bto%2BFemale&amp;qid=1623348565&amp;sr=8-6&amp;th=1" TargetMode="External"/><Relationship Id="rId55" Type="http://schemas.openxmlformats.org/officeDocument/2006/relationships/hyperlink" Target="https://www.amazon.com/dp/B07P4DZ2JT?ref=ppx_pop_mob_ap_share&amp;fbclid=IwAR0Y2YoV4knb8Y1EO2xa4_k3FkLoVVx2kLqCoORXz7u3tUYBU5lXqbAnp0Y" TargetMode="External"/><Relationship Id="rId76" Type="http://schemas.openxmlformats.org/officeDocument/2006/relationships/hyperlink" Target="https://www.amazon.com/dp/B088FYQJYZ?ref_=ppx_hzsearch_conn_dt_b_fed_asin_title_6" TargetMode="External"/><Relationship Id="rId7" Type="http://schemas.openxmlformats.org/officeDocument/2006/relationships/hyperlink" Target="https://www.mcmaster.com/90190A108" TargetMode="External"/><Relationship Id="rId71" Type="http://schemas.openxmlformats.org/officeDocument/2006/relationships/hyperlink" Target="https://www.servocity.com/1400-series-1-side-2-post-clamping-mount-32mm-bore/" TargetMode="External"/><Relationship Id="rId2" Type="http://schemas.openxmlformats.org/officeDocument/2006/relationships/hyperlink" Target="https://www.adafruit.com/product/158" TargetMode="External"/><Relationship Id="rId29" Type="http://schemas.openxmlformats.org/officeDocument/2006/relationships/hyperlink" Target="https://www.mcmaster.com/92095A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"/>
  <sheetViews>
    <sheetView showGridLines="0" workbookViewId="0">
      <pane xSplit="1" ySplit="2" topLeftCell="B70" activePane="bottomRight" state="frozen"/>
      <selection pane="topRight" activeCell="B1" sqref="B1"/>
      <selection pane="bottomLeft" activeCell="A3" sqref="A3"/>
      <selection pane="bottomRight" activeCell="A73" sqref="A73"/>
    </sheetView>
  </sheetViews>
  <sheetFormatPr defaultColWidth="14.42578125" defaultRowHeight="19.5" customHeight="1"/>
  <cols>
    <col min="1" max="1" width="73.85546875" bestFit="1" customWidth="1"/>
    <col min="2" max="2" width="10.140625" bestFit="1" customWidth="1"/>
    <col min="3" max="3" width="12.42578125" customWidth="1"/>
    <col min="4" max="4" width="16" bestFit="1" customWidth="1"/>
    <col min="5" max="5" width="13" customWidth="1"/>
    <col min="6" max="6" width="59.28515625" style="40" customWidth="1"/>
    <col min="7" max="7" width="9" customWidth="1"/>
    <col min="8" max="8" width="0.42578125" customWidth="1"/>
    <col min="9" max="9" width="12.28515625" customWidth="1"/>
    <col min="10" max="26" width="16.28515625" customWidth="1"/>
  </cols>
  <sheetData>
    <row r="1" spans="1:26" ht="19.5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</row>
    <row r="2" spans="1:26" ht="25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  <c r="H2" s="4"/>
      <c r="I2" s="5">
        <f>SUM(E114,E105,E99,E80,E49,E43,E14)</f>
        <v>1243.33</v>
      </c>
    </row>
    <row r="3" spans="1:26" ht="12.75">
      <c r="A3" s="6" t="s">
        <v>8</v>
      </c>
      <c r="B3" s="7"/>
      <c r="C3" s="8"/>
      <c r="D3" s="9"/>
      <c r="E3" s="9"/>
      <c r="F3" s="10"/>
      <c r="G3" s="8"/>
      <c r="H3" s="11"/>
      <c r="I3" s="8"/>
    </row>
    <row r="4" spans="1:26" ht="19.5" customHeight="1">
      <c r="A4" s="44" t="s">
        <v>9</v>
      </c>
      <c r="B4" s="45">
        <v>1</v>
      </c>
      <c r="C4" s="46">
        <v>1</v>
      </c>
      <c r="D4" s="47">
        <v>24.95</v>
      </c>
      <c r="E4" s="47">
        <f t="shared" ref="E4:E13" si="0">D4*C4</f>
        <v>24.95</v>
      </c>
      <c r="F4" s="48" t="s">
        <v>10</v>
      </c>
      <c r="G4" s="46"/>
      <c r="H4" s="56" t="str">
        <f t="shared" ref="H4:H9" si="1">IF(F4&gt;0,LEFT(F4,20),"ZZZ")</f>
        <v>https://www.adafruit</v>
      </c>
      <c r="I4" s="46"/>
    </row>
    <row r="5" spans="1:26" ht="19.5" customHeight="1">
      <c r="A5" s="44" t="s">
        <v>11</v>
      </c>
      <c r="B5" s="49">
        <v>1</v>
      </c>
      <c r="C5" s="50">
        <v>1</v>
      </c>
      <c r="D5" s="51">
        <v>19.95</v>
      </c>
      <c r="E5" s="47">
        <f t="shared" si="0"/>
        <v>19.95</v>
      </c>
      <c r="F5" s="52" t="s">
        <v>12</v>
      </c>
      <c r="G5" s="50"/>
      <c r="H5" s="57"/>
      <c r="I5" s="50"/>
    </row>
    <row r="6" spans="1:26" ht="19.5" customHeight="1">
      <c r="A6" s="12" t="s">
        <v>13</v>
      </c>
      <c r="B6" s="13">
        <v>1</v>
      </c>
      <c r="C6" s="14">
        <v>1</v>
      </c>
      <c r="D6" s="15">
        <v>2</v>
      </c>
      <c r="E6" s="15">
        <f t="shared" si="0"/>
        <v>2</v>
      </c>
      <c r="F6" s="33" t="s">
        <v>14</v>
      </c>
      <c r="G6" s="14"/>
      <c r="H6" s="58" t="str">
        <f t="shared" si="1"/>
        <v>https://www.adafruit</v>
      </c>
      <c r="I6" s="14"/>
    </row>
    <row r="7" spans="1:26" ht="19.5" customHeight="1">
      <c r="A7" s="12" t="s">
        <v>15</v>
      </c>
      <c r="B7" s="13">
        <v>2</v>
      </c>
      <c r="C7" s="14">
        <v>2</v>
      </c>
      <c r="D7" s="15">
        <v>21.95</v>
      </c>
      <c r="E7" s="15">
        <f t="shared" si="0"/>
        <v>43.9</v>
      </c>
      <c r="F7" s="33" t="s">
        <v>14</v>
      </c>
      <c r="G7" s="14"/>
      <c r="H7" s="58" t="str">
        <f t="shared" si="1"/>
        <v>https://www.adafruit</v>
      </c>
      <c r="I7" s="14"/>
    </row>
    <row r="8" spans="1:26" ht="19.5" customHeight="1">
      <c r="A8" s="12" t="s">
        <v>16</v>
      </c>
      <c r="B8" s="13">
        <v>1</v>
      </c>
      <c r="C8" s="14">
        <v>1</v>
      </c>
      <c r="D8" s="15">
        <v>6.95</v>
      </c>
      <c r="E8" s="15">
        <f t="shared" si="0"/>
        <v>6.95</v>
      </c>
      <c r="F8" s="33" t="s">
        <v>14</v>
      </c>
      <c r="G8" s="14"/>
      <c r="H8" s="58" t="str">
        <f t="shared" si="1"/>
        <v>https://www.adafruit</v>
      </c>
      <c r="I8" s="14"/>
    </row>
    <row r="9" spans="1:26" ht="19.5" customHeight="1">
      <c r="A9" s="12" t="s">
        <v>17</v>
      </c>
      <c r="B9" s="13">
        <v>1</v>
      </c>
      <c r="C9" s="14">
        <v>1</v>
      </c>
      <c r="D9" s="15">
        <v>8.9499999999999993</v>
      </c>
      <c r="E9" s="15">
        <f t="shared" si="0"/>
        <v>8.9499999999999993</v>
      </c>
      <c r="F9" s="33" t="s">
        <v>14</v>
      </c>
      <c r="G9" s="14"/>
      <c r="H9" s="58" t="str">
        <f t="shared" si="1"/>
        <v>https://www.adafruit</v>
      </c>
      <c r="I9" s="14"/>
    </row>
    <row r="10" spans="1:26" ht="19.5" customHeight="1">
      <c r="A10" s="12" t="s">
        <v>18</v>
      </c>
      <c r="B10" s="13">
        <v>2</v>
      </c>
      <c r="C10" s="14">
        <v>2</v>
      </c>
      <c r="D10" s="15">
        <v>0.95</v>
      </c>
      <c r="E10" s="15">
        <f t="shared" si="0"/>
        <v>1.9</v>
      </c>
      <c r="F10" s="59" t="s">
        <v>19</v>
      </c>
      <c r="G10" s="14"/>
      <c r="H10" s="58"/>
      <c r="I10" s="14"/>
    </row>
    <row r="11" spans="1:26" ht="19.5" customHeight="1">
      <c r="A11" s="12" t="s">
        <v>20</v>
      </c>
      <c r="B11" s="13">
        <v>2</v>
      </c>
      <c r="C11" s="14">
        <v>2</v>
      </c>
      <c r="D11" s="15">
        <v>4.95</v>
      </c>
      <c r="E11" s="15">
        <f t="shared" si="0"/>
        <v>9.9</v>
      </c>
      <c r="F11" s="59" t="s">
        <v>21</v>
      </c>
      <c r="G11" s="14"/>
      <c r="H11" s="58"/>
      <c r="I11" s="14"/>
    </row>
    <row r="12" spans="1:26" ht="19.5" customHeight="1">
      <c r="A12" s="12" t="s">
        <v>22</v>
      </c>
      <c r="B12" s="13">
        <v>1</v>
      </c>
      <c r="C12" s="14">
        <v>1</v>
      </c>
      <c r="D12" s="15">
        <v>5.95</v>
      </c>
      <c r="E12" s="15">
        <f t="shared" si="0"/>
        <v>5.95</v>
      </c>
      <c r="F12" s="59" t="s">
        <v>23</v>
      </c>
      <c r="G12" s="14"/>
      <c r="H12" s="58"/>
      <c r="I12" s="14"/>
    </row>
    <row r="13" spans="1:26" ht="19.5" customHeight="1">
      <c r="A13" s="12" t="s">
        <v>24</v>
      </c>
      <c r="B13" s="13">
        <v>2</v>
      </c>
      <c r="C13" s="14">
        <v>2</v>
      </c>
      <c r="D13" s="15">
        <v>7.95</v>
      </c>
      <c r="E13" s="15">
        <f t="shared" si="0"/>
        <v>15.9</v>
      </c>
      <c r="F13" s="59" t="s">
        <v>25</v>
      </c>
      <c r="G13" s="14"/>
      <c r="H13" s="58"/>
      <c r="I13" s="14"/>
    </row>
    <row r="14" spans="1:26" ht="19.5" customHeight="1">
      <c r="A14" s="12"/>
      <c r="B14" s="16"/>
      <c r="C14" s="17"/>
      <c r="D14" s="18"/>
      <c r="E14" s="18">
        <f>SUM(E4:E13)</f>
        <v>140.35000000000002</v>
      </c>
      <c r="F14" s="59"/>
      <c r="G14" s="19"/>
      <c r="H14" s="58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>
      <c r="A15" s="21" t="s">
        <v>26</v>
      </c>
      <c r="B15" s="22"/>
      <c r="C15" s="23"/>
      <c r="D15" s="24"/>
      <c r="E15" s="24"/>
      <c r="F15" s="25"/>
      <c r="G15" s="23"/>
      <c r="H15" s="26"/>
      <c r="I15" s="23"/>
    </row>
    <row r="16" spans="1:26" ht="19.5" customHeight="1">
      <c r="A16" s="12" t="s">
        <v>27</v>
      </c>
      <c r="B16" s="13">
        <v>1</v>
      </c>
      <c r="C16" s="14"/>
      <c r="D16" s="15">
        <v>112.99</v>
      </c>
      <c r="E16" s="15">
        <f t="shared" ref="E16:E34" si="2">D16*C16</f>
        <v>0</v>
      </c>
      <c r="F16" s="33" t="s">
        <v>28</v>
      </c>
      <c r="G16" s="14"/>
      <c r="H16" s="58" t="str">
        <f t="shared" ref="H16:H34" si="3">IF(F16&gt;0,LEFT(F16,20),"ZZZ")</f>
        <v>https://www.amazon.c</v>
      </c>
      <c r="I16" s="14"/>
    </row>
    <row r="17" spans="1:9" ht="19.5" customHeight="1">
      <c r="A17" s="12" t="s">
        <v>29</v>
      </c>
      <c r="B17" s="13">
        <v>1</v>
      </c>
      <c r="C17" s="14"/>
      <c r="D17" s="15">
        <v>60</v>
      </c>
      <c r="E17" s="15">
        <f t="shared" si="2"/>
        <v>0</v>
      </c>
      <c r="F17" s="33" t="s">
        <v>30</v>
      </c>
      <c r="G17" s="33"/>
      <c r="H17" s="58"/>
      <c r="I17" s="14"/>
    </row>
    <row r="18" spans="1:9" ht="19.5" customHeight="1">
      <c r="A18" s="12" t="s">
        <v>31</v>
      </c>
      <c r="B18" s="13">
        <v>1</v>
      </c>
      <c r="C18" s="14">
        <v>1</v>
      </c>
      <c r="D18" s="15">
        <v>100</v>
      </c>
      <c r="E18" s="15">
        <f t="shared" si="2"/>
        <v>100</v>
      </c>
      <c r="F18" s="33" t="s">
        <v>30</v>
      </c>
      <c r="G18" s="33"/>
      <c r="H18" s="58"/>
      <c r="I18" s="14"/>
    </row>
    <row r="19" spans="1:9" ht="19.5" customHeight="1">
      <c r="A19" s="12" t="s">
        <v>32</v>
      </c>
      <c r="B19" s="13">
        <v>1</v>
      </c>
      <c r="C19" s="14">
        <v>1</v>
      </c>
      <c r="D19" s="15">
        <v>25</v>
      </c>
      <c r="E19" s="15">
        <f t="shared" si="2"/>
        <v>25</v>
      </c>
      <c r="F19" s="33" t="s">
        <v>33</v>
      </c>
      <c r="G19" s="14"/>
      <c r="H19" s="58" t="str">
        <f t="shared" si="3"/>
        <v>https://www.amazon.c</v>
      </c>
      <c r="I19" s="14"/>
    </row>
    <row r="20" spans="1:9" ht="19.5" customHeight="1">
      <c r="A20" s="12" t="s">
        <v>34</v>
      </c>
      <c r="B20" s="13">
        <v>4</v>
      </c>
      <c r="C20" s="14">
        <v>1</v>
      </c>
      <c r="D20" s="15">
        <v>9.7899999999999991</v>
      </c>
      <c r="E20" s="15">
        <f t="shared" si="2"/>
        <v>9.7899999999999991</v>
      </c>
      <c r="F20" s="33" t="s">
        <v>28</v>
      </c>
      <c r="G20" s="14"/>
      <c r="H20" s="58" t="str">
        <f t="shared" si="3"/>
        <v>https://www.amazon.c</v>
      </c>
      <c r="I20" s="14"/>
    </row>
    <row r="21" spans="1:9" ht="19.5" customHeight="1">
      <c r="A21" s="12" t="s">
        <v>35</v>
      </c>
      <c r="B21" s="13">
        <v>1</v>
      </c>
      <c r="C21" s="14">
        <v>1</v>
      </c>
      <c r="D21" s="15">
        <v>16.989999999999998</v>
      </c>
      <c r="E21" s="15">
        <f t="shared" si="2"/>
        <v>16.989999999999998</v>
      </c>
      <c r="F21" s="33" t="s">
        <v>28</v>
      </c>
      <c r="G21" s="14"/>
      <c r="H21" s="58" t="str">
        <f t="shared" si="3"/>
        <v>https://www.amazon.c</v>
      </c>
      <c r="I21" s="14"/>
    </row>
    <row r="22" spans="1:9" ht="19.5" customHeight="1">
      <c r="A22" s="12" t="s">
        <v>36</v>
      </c>
      <c r="B22" s="13">
        <v>1</v>
      </c>
      <c r="C22" s="14">
        <v>1</v>
      </c>
      <c r="D22" s="15">
        <v>15.99</v>
      </c>
      <c r="E22" s="15">
        <v>15.99</v>
      </c>
      <c r="F22" s="33" t="s">
        <v>37</v>
      </c>
      <c r="G22" s="14"/>
      <c r="H22" s="58"/>
      <c r="I22" s="14"/>
    </row>
    <row r="23" spans="1:9" ht="19.5" customHeight="1">
      <c r="A23" s="12" t="s">
        <v>38</v>
      </c>
      <c r="B23" s="13">
        <v>1</v>
      </c>
      <c r="C23" s="14">
        <v>0</v>
      </c>
      <c r="D23" s="15">
        <v>9.99</v>
      </c>
      <c r="E23" s="15">
        <f t="shared" si="2"/>
        <v>0</v>
      </c>
      <c r="F23" s="41" t="s">
        <v>28</v>
      </c>
      <c r="G23" s="14"/>
      <c r="H23" s="58" t="str">
        <f t="shared" si="3"/>
        <v>https://www.amazon.c</v>
      </c>
      <c r="I23" s="14"/>
    </row>
    <row r="24" spans="1:9" ht="19.5" customHeight="1">
      <c r="A24" s="12" t="s">
        <v>39</v>
      </c>
      <c r="B24" s="13">
        <v>1</v>
      </c>
      <c r="C24" s="14">
        <v>1</v>
      </c>
      <c r="D24" s="15">
        <v>13.99</v>
      </c>
      <c r="E24" s="15">
        <f t="shared" ref="E24" si="4">D24*C24</f>
        <v>13.99</v>
      </c>
      <c r="F24" s="41" t="s">
        <v>40</v>
      </c>
      <c r="G24" s="14"/>
      <c r="H24" s="58" t="str">
        <f t="shared" ref="H24" si="5">IF(F24&gt;0,LEFT(F24,20),"ZZZ")</f>
        <v>https://www.amazon.c</v>
      </c>
      <c r="I24" s="14"/>
    </row>
    <row r="25" spans="1:9" ht="19.5" customHeight="1">
      <c r="A25" s="12" t="s">
        <v>41</v>
      </c>
      <c r="B25" s="13">
        <v>1</v>
      </c>
      <c r="C25" s="14">
        <v>1</v>
      </c>
      <c r="D25" s="15">
        <v>4.96</v>
      </c>
      <c r="E25" s="15">
        <f t="shared" si="2"/>
        <v>4.96</v>
      </c>
      <c r="F25" s="59" t="s">
        <v>42</v>
      </c>
      <c r="G25" s="14"/>
      <c r="H25" s="58" t="str">
        <f t="shared" si="3"/>
        <v>https://www.amazon.c</v>
      </c>
      <c r="I25" s="14"/>
    </row>
    <row r="26" spans="1:9" ht="19.5" customHeight="1">
      <c r="A26" s="12" t="s">
        <v>43</v>
      </c>
      <c r="B26" s="13">
        <v>1</v>
      </c>
      <c r="C26" s="14">
        <v>1</v>
      </c>
      <c r="D26" s="15">
        <v>7.42</v>
      </c>
      <c r="E26" s="15">
        <f t="shared" si="2"/>
        <v>7.42</v>
      </c>
      <c r="F26" s="59" t="s">
        <v>44</v>
      </c>
      <c r="G26" s="14"/>
      <c r="H26" s="58" t="str">
        <f t="shared" si="3"/>
        <v>https://www.amazon.c</v>
      </c>
      <c r="I26" s="14"/>
    </row>
    <row r="27" spans="1:9" ht="19.5" customHeight="1">
      <c r="A27" s="27" t="s">
        <v>45</v>
      </c>
      <c r="B27" s="13">
        <v>1</v>
      </c>
      <c r="C27" s="14">
        <v>1</v>
      </c>
      <c r="D27" s="15">
        <v>23</v>
      </c>
      <c r="E27" s="15">
        <f t="shared" si="2"/>
        <v>23</v>
      </c>
      <c r="F27" s="60" t="s">
        <v>46</v>
      </c>
      <c r="G27" s="14"/>
      <c r="H27" s="58" t="str">
        <f t="shared" si="3"/>
        <v>https://www.amazon.c</v>
      </c>
      <c r="I27" s="14"/>
    </row>
    <row r="28" spans="1:9" ht="19.5" customHeight="1">
      <c r="A28" s="12" t="s">
        <v>47</v>
      </c>
      <c r="B28" s="13">
        <v>1</v>
      </c>
      <c r="C28" s="14">
        <v>1</v>
      </c>
      <c r="D28" s="15">
        <v>5.55</v>
      </c>
      <c r="E28" s="15">
        <f t="shared" si="2"/>
        <v>5.55</v>
      </c>
      <c r="F28" s="59" t="s">
        <v>48</v>
      </c>
      <c r="G28" s="14"/>
      <c r="H28" s="58" t="str">
        <f t="shared" si="3"/>
        <v>https://www.amazon.c</v>
      </c>
      <c r="I28" s="14"/>
    </row>
    <row r="29" spans="1:9" ht="19.5" customHeight="1">
      <c r="A29" s="12" t="s">
        <v>49</v>
      </c>
      <c r="B29" s="13">
        <v>2</v>
      </c>
      <c r="C29" s="14">
        <v>2</v>
      </c>
      <c r="D29" s="15">
        <v>42.99</v>
      </c>
      <c r="E29" s="15">
        <f t="shared" si="2"/>
        <v>85.98</v>
      </c>
      <c r="F29" s="33" t="s">
        <v>50</v>
      </c>
      <c r="G29" s="14"/>
      <c r="H29" s="58" t="str">
        <f t="shared" si="3"/>
        <v>https://www.amazon.c</v>
      </c>
      <c r="I29" s="14"/>
    </row>
    <row r="30" spans="1:9" ht="19.5" customHeight="1">
      <c r="A30" s="12" t="s">
        <v>51</v>
      </c>
      <c r="B30" s="13">
        <v>2</v>
      </c>
      <c r="C30" s="14">
        <v>2</v>
      </c>
      <c r="D30" s="15">
        <v>17.71</v>
      </c>
      <c r="E30" s="15">
        <f t="shared" si="2"/>
        <v>35.42</v>
      </c>
      <c r="F30" s="59" t="s">
        <v>52</v>
      </c>
      <c r="G30" s="14"/>
      <c r="H30" s="58" t="str">
        <f t="shared" si="3"/>
        <v>https://www.amazon.c</v>
      </c>
      <c r="I30" s="14"/>
    </row>
    <row r="31" spans="1:9" ht="19.5" customHeight="1">
      <c r="A31" s="12" t="s">
        <v>53</v>
      </c>
      <c r="B31" s="13">
        <v>1</v>
      </c>
      <c r="C31" s="14">
        <v>1</v>
      </c>
      <c r="D31" s="15">
        <v>11.99</v>
      </c>
      <c r="E31" s="15">
        <f t="shared" si="2"/>
        <v>11.99</v>
      </c>
      <c r="F31" s="59" t="s">
        <v>54</v>
      </c>
      <c r="G31" s="14"/>
      <c r="H31" s="58" t="str">
        <f t="shared" si="3"/>
        <v>https://www.amazon.c</v>
      </c>
      <c r="I31" s="14"/>
    </row>
    <row r="32" spans="1:9" ht="19.5" customHeight="1">
      <c r="A32" s="12" t="s">
        <v>55</v>
      </c>
      <c r="B32" s="13">
        <v>1</v>
      </c>
      <c r="C32" s="14">
        <v>1</v>
      </c>
      <c r="D32" s="15">
        <v>5.39</v>
      </c>
      <c r="E32" s="15">
        <f t="shared" si="2"/>
        <v>5.39</v>
      </c>
      <c r="F32" s="59" t="s">
        <v>56</v>
      </c>
      <c r="G32" s="14"/>
      <c r="H32" s="58" t="str">
        <f t="shared" si="3"/>
        <v>https://www.amazon.c</v>
      </c>
      <c r="I32" s="14"/>
    </row>
    <row r="33" spans="1:9" ht="19.5" customHeight="1">
      <c r="A33" s="12" t="s">
        <v>57</v>
      </c>
      <c r="B33" s="13">
        <v>1</v>
      </c>
      <c r="C33" s="14">
        <v>1</v>
      </c>
      <c r="D33" s="15">
        <v>26.76</v>
      </c>
      <c r="E33" s="15">
        <f t="shared" ref="E33" si="6">D33*C33</f>
        <v>26.76</v>
      </c>
      <c r="F33" s="41" t="s">
        <v>58</v>
      </c>
      <c r="G33" s="14"/>
      <c r="H33" s="58" t="e">
        <f>IF(#REF!&gt;0,LEFT(#REF!,20),"ZZZ")</f>
        <v>#REF!</v>
      </c>
      <c r="I33" s="14"/>
    </row>
    <row r="34" spans="1:9" ht="19.5" customHeight="1">
      <c r="A34" s="12" t="s">
        <v>59</v>
      </c>
      <c r="B34" s="13">
        <v>1</v>
      </c>
      <c r="C34" s="14">
        <v>0</v>
      </c>
      <c r="D34" s="15">
        <v>29.29</v>
      </c>
      <c r="E34" s="15">
        <f t="shared" si="2"/>
        <v>0</v>
      </c>
      <c r="F34" s="59" t="s">
        <v>60</v>
      </c>
      <c r="G34" s="14"/>
      <c r="H34" s="58" t="str">
        <f t="shared" si="3"/>
        <v>https://www.amazon.c</v>
      </c>
      <c r="I34" s="14"/>
    </row>
    <row r="35" spans="1:9" ht="19.5" customHeight="1">
      <c r="A35" s="12" t="s">
        <v>61</v>
      </c>
      <c r="B35" s="13">
        <v>2</v>
      </c>
      <c r="C35" s="14">
        <v>2</v>
      </c>
      <c r="D35" s="15">
        <v>24.17</v>
      </c>
      <c r="E35" s="15">
        <f t="shared" ref="E35:E37" si="7">D35*C35</f>
        <v>48.34</v>
      </c>
      <c r="F35" s="87" t="s">
        <v>62</v>
      </c>
      <c r="G35" s="88"/>
      <c r="H35" s="28"/>
      <c r="I35" s="14"/>
    </row>
    <row r="36" spans="1:9" ht="19.5" customHeight="1">
      <c r="A36" s="12" t="s">
        <v>63</v>
      </c>
      <c r="B36" s="13">
        <v>1</v>
      </c>
      <c r="C36" s="14">
        <v>1</v>
      </c>
      <c r="D36" s="15">
        <v>5.99</v>
      </c>
      <c r="E36" s="15">
        <f>D36*C36</f>
        <v>5.99</v>
      </c>
      <c r="F36" s="87" t="s">
        <v>64</v>
      </c>
      <c r="G36" s="88"/>
      <c r="H36" s="28"/>
      <c r="I36" s="14"/>
    </row>
    <row r="37" spans="1:9" ht="19.5" customHeight="1">
      <c r="A37" s="12" t="s">
        <v>65</v>
      </c>
      <c r="B37" s="13">
        <v>1</v>
      </c>
      <c r="C37" s="14">
        <v>1</v>
      </c>
      <c r="D37" s="15">
        <v>11.99</v>
      </c>
      <c r="E37" s="15">
        <f t="shared" si="7"/>
        <v>11.99</v>
      </c>
      <c r="F37" s="87" t="s">
        <v>66</v>
      </c>
      <c r="G37" s="88"/>
      <c r="H37" s="28"/>
      <c r="I37" s="14"/>
    </row>
    <row r="38" spans="1:9" ht="19.5" customHeight="1">
      <c r="A38" s="12" t="s">
        <v>67</v>
      </c>
      <c r="B38" s="13">
        <v>1</v>
      </c>
      <c r="C38" s="14">
        <v>1</v>
      </c>
      <c r="D38" s="15">
        <v>5.6</v>
      </c>
      <c r="E38" s="15">
        <f t="shared" ref="E38" si="8">D38*C38</f>
        <v>5.6</v>
      </c>
      <c r="F38" s="87" t="s">
        <v>68</v>
      </c>
      <c r="G38" s="88"/>
      <c r="H38" s="28"/>
      <c r="I38" s="14"/>
    </row>
    <row r="39" spans="1:9" ht="32.25" customHeight="1">
      <c r="A39" s="12" t="s">
        <v>69</v>
      </c>
      <c r="B39" s="13">
        <v>1</v>
      </c>
      <c r="C39" s="14">
        <v>1</v>
      </c>
      <c r="D39" s="15">
        <v>8.99</v>
      </c>
      <c r="E39" s="15">
        <f t="shared" ref="E39:E41" si="9">D39*C39</f>
        <v>8.99</v>
      </c>
      <c r="F39" s="91" t="s">
        <v>70</v>
      </c>
      <c r="G39" s="88"/>
      <c r="H39" s="28"/>
      <c r="I39" s="14"/>
    </row>
    <row r="40" spans="1:9" ht="29.25" customHeight="1">
      <c r="A40" s="12" t="s">
        <v>71</v>
      </c>
      <c r="B40" s="13">
        <v>1</v>
      </c>
      <c r="C40" s="14">
        <v>1</v>
      </c>
      <c r="D40" s="15">
        <v>7.99</v>
      </c>
      <c r="E40" s="15">
        <f t="shared" si="9"/>
        <v>7.99</v>
      </c>
      <c r="F40" s="91" t="s">
        <v>72</v>
      </c>
      <c r="G40" s="88"/>
      <c r="H40" s="28"/>
      <c r="I40" s="14"/>
    </row>
    <row r="41" spans="1:9" ht="26.25" customHeight="1">
      <c r="A41" s="12" t="s">
        <v>73</v>
      </c>
      <c r="B41" s="13">
        <v>1</v>
      </c>
      <c r="C41" s="14">
        <v>1</v>
      </c>
      <c r="D41" s="15">
        <v>7.99</v>
      </c>
      <c r="E41" s="15">
        <f t="shared" si="9"/>
        <v>7.99</v>
      </c>
      <c r="F41" s="87" t="s">
        <v>74</v>
      </c>
      <c r="G41" s="88"/>
      <c r="H41" s="28"/>
      <c r="I41" s="14"/>
    </row>
    <row r="42" spans="1:9" ht="19.5" customHeight="1">
      <c r="A42" s="12" t="s">
        <v>75</v>
      </c>
      <c r="B42" s="13">
        <v>1</v>
      </c>
      <c r="C42" s="14">
        <v>1</v>
      </c>
      <c r="D42" s="15">
        <v>5</v>
      </c>
      <c r="E42" s="15">
        <v>5</v>
      </c>
      <c r="F42" s="89" t="s">
        <v>76</v>
      </c>
      <c r="G42" s="90"/>
      <c r="H42" s="28"/>
      <c r="I42" s="14"/>
    </row>
    <row r="43" spans="1:9" ht="19.5" customHeight="1">
      <c r="A43" s="12"/>
      <c r="B43" s="16"/>
      <c r="C43" s="17"/>
      <c r="D43" s="18"/>
      <c r="E43" s="18">
        <f>SUM(E16:E42)</f>
        <v>490.12000000000012</v>
      </c>
      <c r="F43" s="59"/>
      <c r="G43" s="19"/>
      <c r="H43" s="58"/>
      <c r="I43" s="19"/>
    </row>
    <row r="44" spans="1:9" ht="19.5" customHeight="1">
      <c r="A44" s="29" t="s">
        <v>77</v>
      </c>
      <c r="B44" s="22"/>
      <c r="C44" s="23"/>
      <c r="D44" s="24"/>
      <c r="E44" s="24"/>
      <c r="F44" s="25"/>
      <c r="G44" s="23"/>
      <c r="H44" s="26"/>
      <c r="I44" s="23"/>
    </row>
    <row r="45" spans="1:9" ht="19.5" customHeight="1">
      <c r="A45" s="12" t="s">
        <v>78</v>
      </c>
      <c r="B45" s="13">
        <v>1</v>
      </c>
      <c r="C45" s="14">
        <v>1</v>
      </c>
      <c r="D45" s="15">
        <v>31.5</v>
      </c>
      <c r="E45" s="15">
        <f>D45*C45</f>
        <v>31.5</v>
      </c>
      <c r="F45" s="33" t="s">
        <v>79</v>
      </c>
      <c r="G45" s="14"/>
      <c r="H45" s="58" t="str">
        <f>IF(F45&gt;0,LEFT(F45,20),"ZZZ")</f>
        <v>https://www.andymark</v>
      </c>
      <c r="I45" s="14"/>
    </row>
    <row r="46" spans="1:9" ht="19.5" customHeight="1">
      <c r="A46" s="12" t="s">
        <v>80</v>
      </c>
      <c r="B46" s="13">
        <v>1</v>
      </c>
      <c r="C46" s="14">
        <v>1</v>
      </c>
      <c r="D46" s="15">
        <v>5</v>
      </c>
      <c r="E46" s="15">
        <v>5</v>
      </c>
      <c r="F46" s="83" t="s">
        <v>81</v>
      </c>
      <c r="G46" s="84"/>
      <c r="H46" s="58"/>
      <c r="I46" s="14"/>
    </row>
    <row r="47" spans="1:9" ht="19.5" customHeight="1">
      <c r="A47" s="29" t="s">
        <v>82</v>
      </c>
      <c r="B47" s="22"/>
      <c r="C47" s="23"/>
      <c r="D47" s="24"/>
      <c r="E47" s="24"/>
      <c r="F47" s="25"/>
      <c r="G47" s="23"/>
      <c r="H47" s="26"/>
      <c r="I47" s="23"/>
    </row>
    <row r="48" spans="1:9" ht="19.5" customHeight="1">
      <c r="A48" s="12" t="s">
        <v>83</v>
      </c>
      <c r="B48" s="13">
        <v>2</v>
      </c>
      <c r="C48" s="14">
        <v>2</v>
      </c>
      <c r="D48" s="15">
        <v>29</v>
      </c>
      <c r="E48" s="15">
        <f>D48*C48</f>
        <v>58</v>
      </c>
      <c r="F48" s="85" t="s">
        <v>84</v>
      </c>
      <c r="G48" s="86"/>
      <c r="H48" s="28" t="str">
        <f>IF(F48&gt;0,LEFT(F48,20),"ZZZ")</f>
        <v>https://www.dfrobot.</v>
      </c>
      <c r="I48" s="14"/>
    </row>
    <row r="49" spans="1:9" ht="34.5" customHeight="1">
      <c r="A49" s="12" t="s">
        <v>85</v>
      </c>
      <c r="B49" s="13">
        <v>1</v>
      </c>
      <c r="C49" s="14">
        <v>1</v>
      </c>
      <c r="D49" s="15">
        <v>9</v>
      </c>
      <c r="E49" s="15">
        <f>D49*C49</f>
        <v>9</v>
      </c>
      <c r="F49" s="55" t="s">
        <v>86</v>
      </c>
      <c r="G49" s="53"/>
      <c r="H49" s="28"/>
      <c r="I49" s="14"/>
    </row>
    <row r="50" spans="1:9" ht="19.5" customHeight="1">
      <c r="A50" s="12" t="s">
        <v>87</v>
      </c>
      <c r="B50" s="13"/>
      <c r="C50" s="14"/>
      <c r="D50" s="15"/>
      <c r="E50" s="15"/>
      <c r="F50" s="54"/>
      <c r="G50" s="53"/>
      <c r="H50" s="28"/>
      <c r="I50" s="14"/>
    </row>
    <row r="51" spans="1:9" ht="19.5" customHeight="1">
      <c r="A51" s="29" t="s">
        <v>88</v>
      </c>
      <c r="B51" s="22"/>
      <c r="C51" s="23"/>
      <c r="D51" s="24"/>
      <c r="E51" s="24"/>
      <c r="F51" s="25"/>
      <c r="G51" s="23"/>
      <c r="H51" s="26"/>
      <c r="I51" s="23"/>
    </row>
    <row r="52" spans="1:9" ht="19.5" customHeight="1">
      <c r="A52" s="12" t="s">
        <v>89</v>
      </c>
      <c r="B52" s="13">
        <v>6</v>
      </c>
      <c r="C52" s="14">
        <v>1</v>
      </c>
      <c r="D52" s="15">
        <v>2.4</v>
      </c>
      <c r="E52" s="15">
        <f t="shared" ref="E52:E53" si="10">D52*C52</f>
        <v>2.4</v>
      </c>
      <c r="F52" s="85" t="s">
        <v>90</v>
      </c>
      <c r="G52" s="86"/>
      <c r="H52" s="58" t="str">
        <f t="shared" ref="H52:H79" si="11">IF(F52&gt;0,LEFT(F52,20),"ZZZ")</f>
        <v>https://www.mcmaster</v>
      </c>
      <c r="I52" s="14"/>
    </row>
    <row r="53" spans="1:9" ht="19.5" customHeight="1">
      <c r="A53" s="12" t="s">
        <v>91</v>
      </c>
      <c r="B53" s="13">
        <v>8</v>
      </c>
      <c r="C53" s="14">
        <v>1</v>
      </c>
      <c r="D53" s="15">
        <v>2.94</v>
      </c>
      <c r="E53" s="15">
        <f t="shared" si="10"/>
        <v>2.94</v>
      </c>
      <c r="F53" s="85" t="s">
        <v>92</v>
      </c>
      <c r="G53" s="86"/>
      <c r="H53" s="58" t="str">
        <f t="shared" si="11"/>
        <v>https://www.mcmaster</v>
      </c>
      <c r="I53" s="14"/>
    </row>
    <row r="54" spans="1:9" ht="19.5" customHeight="1">
      <c r="A54" s="12" t="s">
        <v>93</v>
      </c>
      <c r="B54" s="13">
        <v>25</v>
      </c>
      <c r="C54" s="14">
        <v>1</v>
      </c>
      <c r="D54" s="15">
        <v>2.19</v>
      </c>
      <c r="E54" s="15">
        <v>2.19</v>
      </c>
      <c r="F54" s="85" t="s">
        <v>94</v>
      </c>
      <c r="G54" s="86"/>
      <c r="H54" s="58" t="str">
        <f t="shared" si="11"/>
        <v>https://www.mcmaster</v>
      </c>
      <c r="I54" s="14"/>
    </row>
    <row r="55" spans="1:9" ht="19.5" customHeight="1">
      <c r="A55" s="12" t="s">
        <v>95</v>
      </c>
      <c r="B55" s="13">
        <v>100</v>
      </c>
      <c r="C55" s="14">
        <v>1</v>
      </c>
      <c r="D55" s="15">
        <v>1.2</v>
      </c>
      <c r="E55" s="15">
        <f t="shared" ref="E55:E79" si="12">D55*C55</f>
        <v>1.2</v>
      </c>
      <c r="F55" s="85" t="s">
        <v>96</v>
      </c>
      <c r="G55" s="86"/>
      <c r="H55" s="58" t="str">
        <f t="shared" si="11"/>
        <v>https://www.mcmaster</v>
      </c>
      <c r="I55" s="14"/>
    </row>
    <row r="56" spans="1:9" ht="19.5" customHeight="1">
      <c r="A56" s="12" t="s">
        <v>97</v>
      </c>
      <c r="B56" s="13">
        <v>2</v>
      </c>
      <c r="C56" s="14">
        <v>1</v>
      </c>
      <c r="D56" s="15">
        <v>3.77</v>
      </c>
      <c r="E56" s="15">
        <f t="shared" si="12"/>
        <v>3.77</v>
      </c>
      <c r="F56" s="85" t="s">
        <v>98</v>
      </c>
      <c r="G56" s="86"/>
      <c r="H56" s="58" t="str">
        <f t="shared" si="11"/>
        <v>https://www.mcmaster</v>
      </c>
      <c r="I56" s="14"/>
    </row>
    <row r="57" spans="1:9" ht="19.5" customHeight="1">
      <c r="A57" s="12" t="s">
        <v>99</v>
      </c>
      <c r="B57" s="13">
        <v>4</v>
      </c>
      <c r="C57" s="14">
        <v>4</v>
      </c>
      <c r="D57" s="15">
        <v>3.77</v>
      </c>
      <c r="E57" s="15">
        <f t="shared" si="12"/>
        <v>15.08</v>
      </c>
      <c r="F57" s="59" t="s">
        <v>100</v>
      </c>
      <c r="G57" s="14"/>
      <c r="H57" s="58" t="str">
        <f t="shared" si="11"/>
        <v>https://www.mcmaster</v>
      </c>
      <c r="I57" s="14"/>
    </row>
    <row r="58" spans="1:9" ht="19.5" customHeight="1">
      <c r="A58" s="12" t="s">
        <v>101</v>
      </c>
      <c r="B58" s="13">
        <v>1</v>
      </c>
      <c r="C58" s="14">
        <v>1</v>
      </c>
      <c r="D58" s="15">
        <v>1.1399999999999999</v>
      </c>
      <c r="E58" s="15">
        <f t="shared" si="12"/>
        <v>1.1399999999999999</v>
      </c>
      <c r="F58" s="59" t="s">
        <v>102</v>
      </c>
      <c r="G58" s="14"/>
      <c r="H58" s="58" t="str">
        <f t="shared" si="11"/>
        <v>https://www.mcmaster</v>
      </c>
      <c r="I58" s="14"/>
    </row>
    <row r="59" spans="1:9" ht="19.5" customHeight="1">
      <c r="A59" s="12" t="s">
        <v>103</v>
      </c>
      <c r="B59" s="13">
        <v>1</v>
      </c>
      <c r="C59" s="14">
        <v>1</v>
      </c>
      <c r="D59" s="15">
        <v>2.65</v>
      </c>
      <c r="E59" s="15">
        <f t="shared" si="12"/>
        <v>2.65</v>
      </c>
      <c r="F59" s="59" t="s">
        <v>104</v>
      </c>
      <c r="G59" s="14"/>
      <c r="H59" s="58" t="str">
        <f t="shared" si="11"/>
        <v>https://www.mcmaster</v>
      </c>
      <c r="I59" s="14"/>
    </row>
    <row r="60" spans="1:9" ht="19.5" customHeight="1">
      <c r="A60" s="12" t="s">
        <v>105</v>
      </c>
      <c r="B60" s="13">
        <v>8</v>
      </c>
      <c r="C60" s="14">
        <v>1</v>
      </c>
      <c r="D60" s="15">
        <v>8.49</v>
      </c>
      <c r="E60" s="15">
        <f t="shared" si="12"/>
        <v>8.49</v>
      </c>
      <c r="F60" s="59" t="s">
        <v>106</v>
      </c>
      <c r="G60" s="14"/>
      <c r="H60" s="58" t="str">
        <f t="shared" si="11"/>
        <v>https://www.mcmaster</v>
      </c>
      <c r="I60" s="14"/>
    </row>
    <row r="61" spans="1:9" ht="19.5" customHeight="1">
      <c r="A61" s="12" t="s">
        <v>107</v>
      </c>
      <c r="B61" s="13">
        <v>4</v>
      </c>
      <c r="C61" s="14">
        <v>1</v>
      </c>
      <c r="D61" s="15">
        <v>6.03</v>
      </c>
      <c r="E61" s="15">
        <f t="shared" si="12"/>
        <v>6.03</v>
      </c>
      <c r="F61" s="59" t="s">
        <v>108</v>
      </c>
      <c r="G61" s="14"/>
      <c r="H61" s="58" t="str">
        <f t="shared" si="11"/>
        <v>https://www.mcmaster</v>
      </c>
      <c r="I61" s="14"/>
    </row>
    <row r="62" spans="1:9" ht="19.5" customHeight="1">
      <c r="A62" s="12" t="s">
        <v>109</v>
      </c>
      <c r="B62" s="13">
        <v>4</v>
      </c>
      <c r="C62" s="14">
        <v>1</v>
      </c>
      <c r="D62" s="15">
        <v>3.72</v>
      </c>
      <c r="E62" s="15">
        <f t="shared" si="12"/>
        <v>3.72</v>
      </c>
      <c r="F62" s="59" t="s">
        <v>110</v>
      </c>
      <c r="G62" s="14"/>
      <c r="H62" s="58" t="str">
        <f t="shared" si="11"/>
        <v>https://www.mcmaster</v>
      </c>
      <c r="I62" s="14"/>
    </row>
    <row r="63" spans="1:9" ht="19.5" customHeight="1">
      <c r="A63" s="12" t="s">
        <v>111</v>
      </c>
      <c r="B63" s="13">
        <v>4</v>
      </c>
      <c r="C63" s="14">
        <v>1</v>
      </c>
      <c r="D63" s="15">
        <v>3.72</v>
      </c>
      <c r="E63" s="15">
        <f t="shared" si="12"/>
        <v>3.72</v>
      </c>
      <c r="F63" s="59" t="s">
        <v>112</v>
      </c>
      <c r="G63" s="14"/>
      <c r="H63" s="58" t="str">
        <f t="shared" si="11"/>
        <v>https://www.mcmaster</v>
      </c>
      <c r="I63" s="14"/>
    </row>
    <row r="64" spans="1:9" ht="19.5" customHeight="1">
      <c r="A64" s="12" t="s">
        <v>113</v>
      </c>
      <c r="B64" s="13">
        <v>4</v>
      </c>
      <c r="C64" s="14">
        <v>1</v>
      </c>
      <c r="D64" s="15">
        <v>4.41</v>
      </c>
      <c r="E64" s="15">
        <f t="shared" si="12"/>
        <v>4.41</v>
      </c>
      <c r="F64" s="59" t="s">
        <v>114</v>
      </c>
      <c r="G64" s="14"/>
      <c r="H64" s="58" t="str">
        <f t="shared" si="11"/>
        <v>https://www.mcmaster</v>
      </c>
      <c r="I64" s="14"/>
    </row>
    <row r="65" spans="1:9" ht="19.5" customHeight="1">
      <c r="A65" s="12" t="s">
        <v>115</v>
      </c>
      <c r="B65" s="13">
        <v>12</v>
      </c>
      <c r="C65" s="14">
        <v>1</v>
      </c>
      <c r="D65" s="15">
        <v>5.42</v>
      </c>
      <c r="E65" s="15">
        <f t="shared" si="12"/>
        <v>5.42</v>
      </c>
      <c r="F65" s="59" t="s">
        <v>116</v>
      </c>
      <c r="G65" s="14"/>
      <c r="H65" s="58" t="str">
        <f t="shared" si="11"/>
        <v>https://www.mcmaster</v>
      </c>
      <c r="I65" s="14"/>
    </row>
    <row r="66" spans="1:9" ht="19.5" customHeight="1">
      <c r="A66" s="12" t="s">
        <v>117</v>
      </c>
      <c r="B66" s="13">
        <v>8</v>
      </c>
      <c r="C66" s="14">
        <v>1</v>
      </c>
      <c r="D66" s="15">
        <v>3.39</v>
      </c>
      <c r="E66" s="15">
        <f t="shared" si="12"/>
        <v>3.39</v>
      </c>
      <c r="F66" s="59" t="s">
        <v>118</v>
      </c>
      <c r="G66" s="14"/>
      <c r="H66" s="58" t="str">
        <f t="shared" si="11"/>
        <v>https://www.mcmaster</v>
      </c>
      <c r="I66" s="14"/>
    </row>
    <row r="67" spans="1:9" ht="19.5" customHeight="1">
      <c r="A67" s="12" t="s">
        <v>119</v>
      </c>
      <c r="B67" s="13">
        <v>4</v>
      </c>
      <c r="C67" s="14">
        <v>1</v>
      </c>
      <c r="D67" s="15">
        <v>5.0199999999999996</v>
      </c>
      <c r="E67" s="15">
        <f t="shared" si="12"/>
        <v>5.0199999999999996</v>
      </c>
      <c r="F67" s="59" t="s">
        <v>120</v>
      </c>
      <c r="G67" s="14"/>
      <c r="H67" s="58" t="str">
        <f t="shared" si="11"/>
        <v>https://www.mcmaster</v>
      </c>
      <c r="I67" s="14"/>
    </row>
    <row r="68" spans="1:9" ht="19.5" customHeight="1">
      <c r="A68" s="12" t="s">
        <v>121</v>
      </c>
      <c r="B68" s="13">
        <v>6</v>
      </c>
      <c r="C68" s="14">
        <v>1</v>
      </c>
      <c r="D68" s="15">
        <v>6.21</v>
      </c>
      <c r="E68" s="15">
        <f t="shared" si="12"/>
        <v>6.21</v>
      </c>
      <c r="F68" s="59" t="s">
        <v>122</v>
      </c>
      <c r="G68" s="14"/>
      <c r="H68" s="58" t="str">
        <f t="shared" si="11"/>
        <v>https://www.mcmaster</v>
      </c>
      <c r="I68" s="14"/>
    </row>
    <row r="69" spans="1:9" ht="19.5" customHeight="1">
      <c r="A69" s="12" t="s">
        <v>123</v>
      </c>
      <c r="B69" s="13">
        <v>4</v>
      </c>
      <c r="C69" s="14">
        <v>1</v>
      </c>
      <c r="D69" s="15">
        <v>3.57</v>
      </c>
      <c r="E69" s="15">
        <f t="shared" si="12"/>
        <v>3.57</v>
      </c>
      <c r="F69" s="59" t="s">
        <v>124</v>
      </c>
      <c r="G69" s="14"/>
      <c r="H69" s="58" t="str">
        <f t="shared" si="11"/>
        <v>https://www.mcmaster</v>
      </c>
      <c r="I69" s="14"/>
    </row>
    <row r="70" spans="1:9" ht="19.5" customHeight="1">
      <c r="A70" s="12" t="s">
        <v>125</v>
      </c>
      <c r="B70" s="13">
        <v>11</v>
      </c>
      <c r="C70" s="14">
        <v>1</v>
      </c>
      <c r="D70" s="15">
        <v>8.3800000000000008</v>
      </c>
      <c r="E70" s="15">
        <f t="shared" si="12"/>
        <v>8.3800000000000008</v>
      </c>
      <c r="F70" s="59" t="s">
        <v>126</v>
      </c>
      <c r="G70" s="14"/>
      <c r="H70" s="58" t="str">
        <f t="shared" si="11"/>
        <v>https://www.mcmaster</v>
      </c>
      <c r="I70" s="14"/>
    </row>
    <row r="71" spans="1:9" ht="19.5" customHeight="1">
      <c r="A71" s="12" t="s">
        <v>127</v>
      </c>
      <c r="B71" s="13">
        <v>1</v>
      </c>
      <c r="C71" s="14">
        <v>1</v>
      </c>
      <c r="D71" s="15">
        <v>6.13</v>
      </c>
      <c r="E71" s="15">
        <f t="shared" si="12"/>
        <v>6.13</v>
      </c>
      <c r="F71" s="59" t="s">
        <v>128</v>
      </c>
      <c r="G71" s="14"/>
      <c r="H71" s="58" t="str">
        <f t="shared" si="11"/>
        <v>https://www.mcmaster</v>
      </c>
      <c r="I71" s="14"/>
    </row>
    <row r="72" spans="1:9" ht="19.5" customHeight="1">
      <c r="A72" s="12" t="s">
        <v>129</v>
      </c>
      <c r="B72" s="13">
        <v>2</v>
      </c>
      <c r="C72" s="14">
        <v>1</v>
      </c>
      <c r="D72" s="15">
        <v>1.41</v>
      </c>
      <c r="E72" s="15">
        <f t="shared" si="12"/>
        <v>1.41</v>
      </c>
      <c r="F72" s="59" t="s">
        <v>130</v>
      </c>
      <c r="G72" s="14"/>
      <c r="H72" s="58" t="str">
        <f t="shared" si="11"/>
        <v>https://www.mcmaster</v>
      </c>
      <c r="I72" s="14"/>
    </row>
    <row r="73" spans="1:9" ht="19.5" customHeight="1">
      <c r="A73" s="12" t="s">
        <v>131</v>
      </c>
      <c r="B73" s="30">
        <v>2</v>
      </c>
      <c r="C73" s="30">
        <v>1</v>
      </c>
      <c r="D73" s="31">
        <v>6.81</v>
      </c>
      <c r="E73" s="31">
        <f t="shared" si="12"/>
        <v>6.81</v>
      </c>
      <c r="F73" s="62" t="s">
        <v>132</v>
      </c>
      <c r="G73" s="30"/>
      <c r="H73" s="61" t="str">
        <f t="shared" si="11"/>
        <v>https://www.mcmaster</v>
      </c>
      <c r="I73" s="30"/>
    </row>
    <row r="74" spans="1:9" ht="19.5" customHeight="1">
      <c r="A74" s="12" t="s">
        <v>133</v>
      </c>
      <c r="B74" s="13">
        <v>14</v>
      </c>
      <c r="C74" s="14">
        <v>1</v>
      </c>
      <c r="D74" s="15">
        <v>10.02</v>
      </c>
      <c r="E74" s="15">
        <f t="shared" si="12"/>
        <v>10.02</v>
      </c>
      <c r="F74" s="59" t="s">
        <v>134</v>
      </c>
      <c r="G74" s="14"/>
      <c r="H74" s="58" t="str">
        <f t="shared" si="11"/>
        <v>https://www.mcmaster</v>
      </c>
      <c r="I74" s="14"/>
    </row>
    <row r="75" spans="1:9" ht="19.5" customHeight="1">
      <c r="A75" s="12" t="s">
        <v>135</v>
      </c>
      <c r="B75" s="13">
        <v>12</v>
      </c>
      <c r="C75" s="14">
        <v>1</v>
      </c>
      <c r="D75" s="15">
        <v>7.22</v>
      </c>
      <c r="E75" s="15">
        <f t="shared" si="12"/>
        <v>7.22</v>
      </c>
      <c r="F75" s="59" t="s">
        <v>136</v>
      </c>
      <c r="G75" s="14"/>
      <c r="H75" s="58" t="str">
        <f t="shared" si="11"/>
        <v>https://www.mcmaster</v>
      </c>
      <c r="I75" s="14"/>
    </row>
    <row r="76" spans="1:9" ht="19.5" customHeight="1">
      <c r="A76" s="27" t="s">
        <v>137</v>
      </c>
      <c r="B76" s="13">
        <v>2</v>
      </c>
      <c r="C76" s="14">
        <v>1</v>
      </c>
      <c r="D76" s="15">
        <v>9.6300000000000008</v>
      </c>
      <c r="E76" s="15">
        <f t="shared" si="12"/>
        <v>9.6300000000000008</v>
      </c>
      <c r="F76" s="60" t="s">
        <v>138</v>
      </c>
      <c r="G76" s="14"/>
      <c r="H76" s="58" t="str">
        <f t="shared" si="11"/>
        <v>https://www.mcmaster</v>
      </c>
      <c r="I76" s="14"/>
    </row>
    <row r="77" spans="1:9" ht="19.5" customHeight="1">
      <c r="A77" s="12" t="s">
        <v>139</v>
      </c>
      <c r="B77" s="13">
        <v>2</v>
      </c>
      <c r="C77" s="14">
        <v>1</v>
      </c>
      <c r="D77" s="15">
        <v>7.86</v>
      </c>
      <c r="E77" s="15">
        <f t="shared" si="12"/>
        <v>7.86</v>
      </c>
      <c r="F77" s="59" t="s">
        <v>140</v>
      </c>
      <c r="G77" s="14"/>
      <c r="H77" s="58" t="str">
        <f t="shared" si="11"/>
        <v>https://www.mcmaster</v>
      </c>
      <c r="I77" s="14"/>
    </row>
    <row r="78" spans="1:9" ht="19.5" customHeight="1">
      <c r="A78" s="12" t="s">
        <v>141</v>
      </c>
      <c r="B78" s="13">
        <v>1</v>
      </c>
      <c r="C78" s="14">
        <v>1</v>
      </c>
      <c r="D78" s="15">
        <v>9.14</v>
      </c>
      <c r="E78" s="15">
        <f t="shared" si="12"/>
        <v>9.14</v>
      </c>
      <c r="F78" s="59" t="s">
        <v>142</v>
      </c>
      <c r="G78" s="14"/>
      <c r="H78" s="58" t="str">
        <f t="shared" si="11"/>
        <v>https://www.mcmaster</v>
      </c>
      <c r="I78" s="14"/>
    </row>
    <row r="79" spans="1:9" ht="19.5" customHeight="1">
      <c r="A79" s="12" t="s">
        <v>143</v>
      </c>
      <c r="B79" s="13">
        <v>1</v>
      </c>
      <c r="C79" s="14">
        <v>1</v>
      </c>
      <c r="D79" s="15">
        <v>8.91</v>
      </c>
      <c r="E79" s="15">
        <f t="shared" si="12"/>
        <v>8.91</v>
      </c>
      <c r="F79" s="59" t="s">
        <v>144</v>
      </c>
      <c r="G79" s="14"/>
      <c r="H79" s="58" t="str">
        <f t="shared" si="11"/>
        <v>https://www.mcmaster</v>
      </c>
      <c r="I79" s="14"/>
    </row>
    <row r="80" spans="1:9" ht="19.5" customHeight="1">
      <c r="A80" s="27"/>
      <c r="B80" s="13"/>
      <c r="C80" s="14"/>
      <c r="D80" s="15"/>
      <c r="E80" s="15">
        <f>SUM(E52:E79)</f>
        <v>156.85999999999999</v>
      </c>
      <c r="F80" s="32"/>
      <c r="G80" s="14"/>
      <c r="H80" s="28"/>
      <c r="I80" s="14"/>
    </row>
    <row r="81" spans="1:9" ht="19.5" customHeight="1">
      <c r="A81" s="29" t="s">
        <v>145</v>
      </c>
      <c r="B81" s="22"/>
      <c r="C81" s="23"/>
      <c r="D81" s="24"/>
      <c r="E81" s="24"/>
      <c r="F81" s="25"/>
      <c r="G81" s="23"/>
      <c r="H81" s="26"/>
      <c r="I81" s="23"/>
    </row>
    <row r="82" spans="1:9" ht="19.5" customHeight="1">
      <c r="A82" s="12" t="s">
        <v>146</v>
      </c>
      <c r="B82" s="13">
        <v>1</v>
      </c>
      <c r="C82" s="14">
        <v>1</v>
      </c>
      <c r="D82" s="15">
        <v>4.99</v>
      </c>
      <c r="E82" s="15">
        <f t="shared" ref="E82:E97" si="13">D82*C82</f>
        <v>4.99</v>
      </c>
      <c r="F82" s="59" t="s">
        <v>147</v>
      </c>
      <c r="G82" s="14"/>
      <c r="H82" s="58" t="str">
        <f t="shared" ref="H82:H97" si="14">IF(F82&gt;0,LEFT(F82,20),"ZZZ")</f>
        <v>https://www.servocit</v>
      </c>
      <c r="I82" s="14"/>
    </row>
    <row r="83" spans="1:9" ht="19.5" customHeight="1">
      <c r="A83" s="12" t="s">
        <v>148</v>
      </c>
      <c r="B83" s="13">
        <v>3</v>
      </c>
      <c r="C83" s="14">
        <v>3</v>
      </c>
      <c r="D83" s="15">
        <v>14.99</v>
      </c>
      <c r="E83" s="15">
        <f t="shared" si="13"/>
        <v>44.97</v>
      </c>
      <c r="F83" s="59" t="s">
        <v>149</v>
      </c>
      <c r="G83" s="14"/>
      <c r="H83" s="58" t="str">
        <f t="shared" si="14"/>
        <v>https://www.servocit</v>
      </c>
      <c r="I83" s="14"/>
    </row>
    <row r="84" spans="1:9" ht="19.5" customHeight="1">
      <c r="A84" s="12" t="s">
        <v>150</v>
      </c>
      <c r="B84" s="13">
        <v>8</v>
      </c>
      <c r="C84" s="14">
        <v>8</v>
      </c>
      <c r="D84" s="15">
        <v>9.99</v>
      </c>
      <c r="E84" s="15">
        <f t="shared" si="13"/>
        <v>79.92</v>
      </c>
      <c r="F84" s="59" t="s">
        <v>151</v>
      </c>
      <c r="G84" s="14"/>
      <c r="H84" s="58" t="str">
        <f t="shared" si="14"/>
        <v>https://www.servocit</v>
      </c>
      <c r="I84" s="14"/>
    </row>
    <row r="85" spans="1:9" ht="19.5" customHeight="1">
      <c r="A85" s="12" t="s">
        <v>152</v>
      </c>
      <c r="B85" s="13">
        <v>2</v>
      </c>
      <c r="C85" s="14">
        <v>2</v>
      </c>
      <c r="D85" s="15">
        <v>8.69</v>
      </c>
      <c r="E85" s="15">
        <f t="shared" si="13"/>
        <v>17.38</v>
      </c>
      <c r="F85" s="59" t="s">
        <v>153</v>
      </c>
      <c r="G85" s="14"/>
      <c r="H85" s="58" t="str">
        <f t="shared" si="14"/>
        <v>https://www.servocit</v>
      </c>
      <c r="I85" s="14"/>
    </row>
    <row r="86" spans="1:9" ht="19.5" customHeight="1">
      <c r="A86" s="12" t="s">
        <v>199</v>
      </c>
      <c r="B86" s="13">
        <v>1</v>
      </c>
      <c r="C86" s="14">
        <v>1</v>
      </c>
      <c r="D86" s="15">
        <v>39.99</v>
      </c>
      <c r="E86" s="15">
        <f t="shared" si="13"/>
        <v>39.99</v>
      </c>
      <c r="F86" s="59" t="s">
        <v>154</v>
      </c>
      <c r="G86" s="14"/>
      <c r="H86" s="58" t="str">
        <f t="shared" si="14"/>
        <v>https://www.servocit</v>
      </c>
      <c r="I86" s="14"/>
    </row>
    <row r="87" spans="1:9" ht="19.5" customHeight="1">
      <c r="A87" s="12" t="s">
        <v>155</v>
      </c>
      <c r="B87" s="13">
        <v>1</v>
      </c>
      <c r="C87" s="14">
        <v>1</v>
      </c>
      <c r="D87" s="15">
        <v>39.99</v>
      </c>
      <c r="E87" s="15">
        <f t="shared" si="13"/>
        <v>39.99</v>
      </c>
      <c r="F87" s="59" t="s">
        <v>156</v>
      </c>
      <c r="G87" s="14"/>
      <c r="H87" s="58" t="str">
        <f t="shared" si="14"/>
        <v>https://www.servocit</v>
      </c>
      <c r="I87" s="14"/>
    </row>
    <row r="88" spans="1:9" ht="19.5" customHeight="1">
      <c r="A88" s="12" t="s">
        <v>157</v>
      </c>
      <c r="B88" s="13">
        <v>1</v>
      </c>
      <c r="C88" s="14">
        <v>1</v>
      </c>
      <c r="D88" s="15">
        <v>3.99</v>
      </c>
      <c r="E88" s="15">
        <f t="shared" si="13"/>
        <v>3.99</v>
      </c>
      <c r="F88" s="59" t="s">
        <v>158</v>
      </c>
      <c r="G88" s="14"/>
      <c r="H88" s="58" t="str">
        <f t="shared" si="14"/>
        <v>https://www.servocit</v>
      </c>
      <c r="I88" s="14"/>
    </row>
    <row r="89" spans="1:9" ht="19.5" customHeight="1">
      <c r="A89" s="12" t="s">
        <v>159</v>
      </c>
      <c r="B89" s="13">
        <v>1</v>
      </c>
      <c r="C89" s="14">
        <v>1</v>
      </c>
      <c r="D89" s="15">
        <v>4.09</v>
      </c>
      <c r="E89" s="15">
        <f t="shared" si="13"/>
        <v>4.09</v>
      </c>
      <c r="F89" s="59" t="s">
        <v>160</v>
      </c>
      <c r="G89" s="14"/>
      <c r="H89" s="58" t="str">
        <f t="shared" si="14"/>
        <v>https://www.servocit</v>
      </c>
      <c r="I89" s="14"/>
    </row>
    <row r="90" spans="1:9" ht="19.5" customHeight="1">
      <c r="A90" s="12" t="s">
        <v>161</v>
      </c>
      <c r="B90" s="13">
        <v>1</v>
      </c>
      <c r="C90" s="14">
        <v>1</v>
      </c>
      <c r="D90" s="15">
        <v>6.99</v>
      </c>
      <c r="E90" s="15">
        <f t="shared" si="13"/>
        <v>6.99</v>
      </c>
      <c r="F90" s="59" t="s">
        <v>162</v>
      </c>
      <c r="G90" s="14"/>
      <c r="H90" s="58" t="str">
        <f t="shared" si="14"/>
        <v>https://www.servocit</v>
      </c>
      <c r="I90" s="14"/>
    </row>
    <row r="91" spans="1:9" ht="19.5" customHeight="1">
      <c r="A91" s="12" t="s">
        <v>163</v>
      </c>
      <c r="B91" s="13">
        <v>4</v>
      </c>
      <c r="C91" s="14">
        <v>2</v>
      </c>
      <c r="D91" s="15">
        <v>2.79</v>
      </c>
      <c r="E91" s="15">
        <f t="shared" si="13"/>
        <v>5.58</v>
      </c>
      <c r="F91" s="59" t="s">
        <v>164</v>
      </c>
      <c r="G91" s="14"/>
      <c r="H91" s="58" t="str">
        <f t="shared" si="14"/>
        <v>https://www.servocit</v>
      </c>
      <c r="I91" s="14"/>
    </row>
    <row r="92" spans="1:9" ht="19.5" customHeight="1">
      <c r="A92" s="42" t="s">
        <v>165</v>
      </c>
      <c r="B92" s="13">
        <v>2</v>
      </c>
      <c r="C92" s="14">
        <v>1</v>
      </c>
      <c r="D92" s="15">
        <v>16</v>
      </c>
      <c r="E92" s="15">
        <f t="shared" si="13"/>
        <v>16</v>
      </c>
      <c r="F92" s="92" t="s">
        <v>166</v>
      </c>
      <c r="G92" s="86"/>
      <c r="H92" s="58"/>
      <c r="I92" s="14"/>
    </row>
    <row r="93" spans="1:9" ht="19.5" customHeight="1">
      <c r="A93" s="12" t="s">
        <v>167</v>
      </c>
      <c r="B93" s="13">
        <v>4</v>
      </c>
      <c r="C93" s="14">
        <v>4</v>
      </c>
      <c r="D93" s="15">
        <v>6.99</v>
      </c>
      <c r="E93" s="15">
        <f t="shared" si="13"/>
        <v>27.96</v>
      </c>
      <c r="F93" s="59" t="s">
        <v>168</v>
      </c>
      <c r="G93" s="14"/>
      <c r="H93" s="58" t="str">
        <f t="shared" si="14"/>
        <v>https://www.servocit</v>
      </c>
      <c r="I93" s="14"/>
    </row>
    <row r="94" spans="1:9" ht="19.5" customHeight="1">
      <c r="A94" s="12" t="s">
        <v>169</v>
      </c>
      <c r="B94" s="13">
        <v>1</v>
      </c>
      <c r="C94" s="14">
        <v>1</v>
      </c>
      <c r="D94" s="15">
        <v>6.39</v>
      </c>
      <c r="E94" s="15">
        <f t="shared" si="13"/>
        <v>6.39</v>
      </c>
      <c r="F94" s="59" t="s">
        <v>170</v>
      </c>
      <c r="G94" s="14"/>
      <c r="H94" s="58" t="str">
        <f t="shared" si="14"/>
        <v>https://www.servocit</v>
      </c>
      <c r="I94" s="14"/>
    </row>
    <row r="95" spans="1:9" ht="19.5" customHeight="1">
      <c r="A95" s="12" t="s">
        <v>171</v>
      </c>
      <c r="B95" s="13">
        <v>2</v>
      </c>
      <c r="C95" s="14">
        <v>2</v>
      </c>
      <c r="D95" s="15">
        <v>6.99</v>
      </c>
      <c r="E95" s="15">
        <f t="shared" si="13"/>
        <v>13.98</v>
      </c>
      <c r="F95" s="33" t="s">
        <v>197</v>
      </c>
      <c r="G95" s="14"/>
      <c r="H95" s="58" t="str">
        <f t="shared" si="14"/>
        <v>https://www.servocit</v>
      </c>
      <c r="I95" s="14"/>
    </row>
    <row r="96" spans="1:9" ht="19.5" customHeight="1">
      <c r="A96" s="12" t="s">
        <v>172</v>
      </c>
      <c r="B96" s="13">
        <v>1</v>
      </c>
      <c r="C96" s="14">
        <v>1</v>
      </c>
      <c r="D96" s="15">
        <v>5.99</v>
      </c>
      <c r="E96" s="15">
        <f t="shared" si="13"/>
        <v>5.99</v>
      </c>
      <c r="F96" s="33" t="s">
        <v>196</v>
      </c>
      <c r="G96" s="14"/>
      <c r="H96" s="58" t="str">
        <f t="shared" si="14"/>
        <v>https://www.servocit</v>
      </c>
      <c r="I96" s="14"/>
    </row>
    <row r="97" spans="1:9" ht="19.5" customHeight="1">
      <c r="A97" s="12" t="s">
        <v>173</v>
      </c>
      <c r="B97" s="13">
        <v>1</v>
      </c>
      <c r="C97" s="14">
        <v>1</v>
      </c>
      <c r="D97" s="15">
        <v>5.99</v>
      </c>
      <c r="E97" s="15">
        <f t="shared" si="13"/>
        <v>5.99</v>
      </c>
      <c r="F97" s="59" t="s">
        <v>174</v>
      </c>
      <c r="G97" s="14"/>
      <c r="H97" s="58" t="str">
        <f t="shared" si="14"/>
        <v>https://www.servocit</v>
      </c>
      <c r="I97" s="14"/>
    </row>
    <row r="98" spans="1:9" ht="19.5" customHeight="1">
      <c r="A98" s="12" t="s">
        <v>175</v>
      </c>
      <c r="B98" s="13">
        <v>1</v>
      </c>
      <c r="C98" s="14">
        <v>1</v>
      </c>
      <c r="D98" s="15">
        <v>25</v>
      </c>
      <c r="E98" s="15">
        <v>25</v>
      </c>
      <c r="F98" s="60" t="s">
        <v>176</v>
      </c>
      <c r="G98" s="14"/>
      <c r="H98" s="58"/>
      <c r="I98" s="14"/>
    </row>
    <row r="99" spans="1:9" ht="19.5" customHeight="1">
      <c r="A99" s="12"/>
      <c r="B99" s="13"/>
      <c r="C99" s="13"/>
      <c r="D99" s="13"/>
      <c r="E99" s="15">
        <f>SUM(E82:E98)</f>
        <v>349.20000000000005</v>
      </c>
      <c r="F99" s="38"/>
      <c r="G99" s="13"/>
      <c r="H99" s="58" t="str">
        <f>IF(F94&gt;0,LEFT(F94,20),"ZZZ")</f>
        <v>https://www.servocit</v>
      </c>
      <c r="I99" s="14"/>
    </row>
    <row r="100" spans="1:9" ht="19.5" customHeight="1">
      <c r="A100" s="29" t="s">
        <v>177</v>
      </c>
      <c r="B100" s="22"/>
      <c r="C100" s="22"/>
      <c r="D100" s="22"/>
      <c r="E100" s="22"/>
      <c r="F100" s="39"/>
      <c r="G100" s="22"/>
      <c r="H100" s="22"/>
      <c r="I100" s="22"/>
    </row>
    <row r="101" spans="1:9" ht="19.5" customHeight="1">
      <c r="A101" s="12" t="s">
        <v>178</v>
      </c>
      <c r="B101" s="13">
        <v>0</v>
      </c>
      <c r="C101" s="13">
        <v>0</v>
      </c>
      <c r="D101" s="15">
        <v>20</v>
      </c>
      <c r="E101" s="15">
        <f t="shared" ref="E101:E104" si="15">D101*C101</f>
        <v>0</v>
      </c>
      <c r="F101" s="41" t="s">
        <v>179</v>
      </c>
      <c r="G101" s="13"/>
      <c r="H101" s="13"/>
      <c r="I101" s="13"/>
    </row>
    <row r="102" spans="1:9" ht="19.5" customHeight="1">
      <c r="A102" s="12"/>
      <c r="B102" s="13"/>
      <c r="C102" s="13"/>
      <c r="D102" s="31"/>
      <c r="E102" s="15"/>
      <c r="F102" s="63"/>
      <c r="G102" s="13"/>
      <c r="H102" s="13"/>
      <c r="I102" s="13"/>
    </row>
    <row r="103" spans="1:9" ht="19.5" customHeight="1">
      <c r="A103" s="12"/>
      <c r="B103" s="13">
        <v>1</v>
      </c>
      <c r="C103" s="13">
        <v>1</v>
      </c>
      <c r="D103" s="31">
        <v>56.5</v>
      </c>
      <c r="E103" s="15">
        <f t="shared" si="15"/>
        <v>56.5</v>
      </c>
      <c r="F103" s="55" t="s">
        <v>198</v>
      </c>
      <c r="G103" s="13"/>
      <c r="H103" s="13"/>
      <c r="I103" s="13"/>
    </row>
    <row r="104" spans="1:9" ht="19.5" customHeight="1">
      <c r="A104" s="12" t="s">
        <v>180</v>
      </c>
      <c r="B104" s="13">
        <v>1</v>
      </c>
      <c r="C104" s="13">
        <v>1</v>
      </c>
      <c r="D104" s="31">
        <v>1.5</v>
      </c>
      <c r="E104" s="15">
        <f t="shared" si="15"/>
        <v>1.5</v>
      </c>
      <c r="F104" s="41" t="s">
        <v>181</v>
      </c>
      <c r="G104" s="13"/>
      <c r="H104" s="13"/>
      <c r="I104" s="13"/>
    </row>
    <row r="105" spans="1:9" ht="19.5" customHeight="1">
      <c r="A105" s="12"/>
      <c r="B105" s="13"/>
      <c r="C105" s="13"/>
      <c r="D105" s="13"/>
      <c r="E105" s="15">
        <f>SUM((E101:E104))</f>
        <v>58</v>
      </c>
      <c r="F105" s="38"/>
      <c r="G105" s="13"/>
      <c r="H105" s="58" t="str">
        <f>IF(F98&gt;0,LEFT(F98,20),"ZZZ")</f>
        <v>https://www.servocit</v>
      </c>
      <c r="I105" s="14"/>
    </row>
    <row r="106" spans="1:9" ht="19.5" customHeight="1">
      <c r="A106" s="29" t="s">
        <v>182</v>
      </c>
      <c r="B106" s="22"/>
      <c r="C106" s="22"/>
      <c r="D106" s="22"/>
      <c r="E106" s="22"/>
      <c r="F106" s="39"/>
      <c r="G106" s="22"/>
      <c r="H106" s="22"/>
      <c r="I106" s="22"/>
    </row>
    <row r="107" spans="1:9" ht="19.5" customHeight="1">
      <c r="A107" s="12" t="s">
        <v>183</v>
      </c>
      <c r="B107" s="13">
        <v>3</v>
      </c>
      <c r="C107" s="13">
        <v>1</v>
      </c>
      <c r="D107" s="15">
        <v>1.5</v>
      </c>
      <c r="E107" s="15">
        <f t="shared" ref="E107:E110" si="16">D107*C107</f>
        <v>1.5</v>
      </c>
      <c r="F107" s="41" t="s">
        <v>184</v>
      </c>
      <c r="G107" s="13"/>
      <c r="H107" s="13"/>
      <c r="I107" s="13"/>
    </row>
    <row r="108" spans="1:9" ht="19.5" customHeight="1">
      <c r="A108" s="12" t="s">
        <v>185</v>
      </c>
      <c r="B108" s="13">
        <v>1</v>
      </c>
      <c r="C108" s="13">
        <v>1</v>
      </c>
      <c r="D108" s="31">
        <v>11.95</v>
      </c>
      <c r="E108" s="15">
        <f t="shared" si="16"/>
        <v>11.95</v>
      </c>
      <c r="F108" s="60" t="s">
        <v>186</v>
      </c>
      <c r="G108" s="13"/>
      <c r="H108" s="13"/>
      <c r="I108" s="13"/>
    </row>
    <row r="109" spans="1:9" ht="19.5" customHeight="1">
      <c r="A109" s="12" t="s">
        <v>187</v>
      </c>
      <c r="B109" s="13">
        <v>1</v>
      </c>
      <c r="C109" s="13">
        <v>1</v>
      </c>
      <c r="D109" s="31">
        <v>11.95</v>
      </c>
      <c r="E109" s="15">
        <f t="shared" si="16"/>
        <v>11.95</v>
      </c>
      <c r="F109" s="41" t="s">
        <v>188</v>
      </c>
      <c r="G109" s="13"/>
      <c r="H109" s="13"/>
      <c r="I109" s="13"/>
    </row>
    <row r="110" spans="1:9" ht="19.5" customHeight="1">
      <c r="A110" s="12" t="s">
        <v>189</v>
      </c>
      <c r="B110" s="13">
        <v>1</v>
      </c>
      <c r="C110" s="13">
        <v>1</v>
      </c>
      <c r="D110" s="31">
        <v>11.95</v>
      </c>
      <c r="E110" s="15">
        <f t="shared" si="16"/>
        <v>11.95</v>
      </c>
      <c r="F110" s="60" t="s">
        <v>190</v>
      </c>
      <c r="G110" s="13"/>
      <c r="H110" s="13"/>
      <c r="I110" s="13"/>
    </row>
    <row r="111" spans="1:9" ht="19.5" customHeight="1">
      <c r="A111" s="12" t="s">
        <v>191</v>
      </c>
      <c r="B111" s="13">
        <v>1</v>
      </c>
      <c r="C111" s="13">
        <v>1</v>
      </c>
      <c r="D111" s="13">
        <v>0.69</v>
      </c>
      <c r="E111" s="15">
        <f t="shared" ref="E111:E113" si="17">D111*C111</f>
        <v>0.69</v>
      </c>
      <c r="F111" s="38" t="s">
        <v>192</v>
      </c>
      <c r="G111" s="13"/>
      <c r="H111" s="13"/>
      <c r="I111" s="13"/>
    </row>
    <row r="112" spans="1:9" ht="19.5" customHeight="1">
      <c r="A112" s="12" t="s">
        <v>193</v>
      </c>
      <c r="B112" s="13">
        <v>2</v>
      </c>
      <c r="C112" s="13">
        <v>2</v>
      </c>
      <c r="D112" s="13">
        <v>0.44</v>
      </c>
      <c r="E112" s="15">
        <f t="shared" ref="E112" si="18">D112*C112</f>
        <v>0.88</v>
      </c>
      <c r="F112" s="38" t="s">
        <v>194</v>
      </c>
      <c r="G112" s="13"/>
      <c r="H112" s="13"/>
      <c r="I112" s="13"/>
    </row>
    <row r="113" spans="1:9" ht="19.5" customHeight="1">
      <c r="A113" s="12" t="s">
        <v>193</v>
      </c>
      <c r="B113" s="13">
        <v>2</v>
      </c>
      <c r="C113" s="13">
        <v>2</v>
      </c>
      <c r="D113" s="13">
        <v>0.44</v>
      </c>
      <c r="E113" s="15">
        <f t="shared" si="17"/>
        <v>0.88</v>
      </c>
      <c r="F113" s="38" t="s">
        <v>194</v>
      </c>
      <c r="G113" s="13"/>
      <c r="H113" s="13"/>
      <c r="I113" s="13"/>
    </row>
    <row r="114" spans="1:9" ht="19.5" customHeight="1" thickBot="1">
      <c r="A114" s="12"/>
      <c r="B114" s="13"/>
      <c r="C114" s="34"/>
      <c r="D114" s="34"/>
      <c r="E114" s="43">
        <f>SUM(E107:E113)</f>
        <v>39.799999999999997</v>
      </c>
      <c r="F114" s="38"/>
      <c r="G114" s="13"/>
      <c r="H114" s="13"/>
      <c r="I114" s="13"/>
    </row>
    <row r="115" spans="1:9" ht="19.5" customHeight="1" thickBot="1">
      <c r="C115" s="37"/>
      <c r="D115" s="36" t="s">
        <v>195</v>
      </c>
      <c r="E115" s="35">
        <f>SUM(E114,E105,E99,E80,E49,E43,E14)</f>
        <v>1243.33</v>
      </c>
    </row>
  </sheetData>
  <autoFilter ref="A2:Z105" xr:uid="{00000000-0009-0000-0000-000000000000}">
    <sortState xmlns:xlrd2="http://schemas.microsoft.com/office/spreadsheetml/2017/richdata2" ref="A2:Z105">
      <sortCondition ref="H2:H105"/>
      <sortCondition ref="A2:A105"/>
    </sortState>
  </autoFilter>
  <mergeCells count="17">
    <mergeCell ref="F92:G92"/>
    <mergeCell ref="F52:G52"/>
    <mergeCell ref="F53:G53"/>
    <mergeCell ref="F54:G54"/>
    <mergeCell ref="F55:G55"/>
    <mergeCell ref="F56:G56"/>
    <mergeCell ref="A1:I1"/>
    <mergeCell ref="F46:G46"/>
    <mergeCell ref="F48:G48"/>
    <mergeCell ref="F35:G35"/>
    <mergeCell ref="F36:G36"/>
    <mergeCell ref="F37:G37"/>
    <mergeCell ref="F38:G38"/>
    <mergeCell ref="F42:G42"/>
    <mergeCell ref="F39:G39"/>
    <mergeCell ref="F40:G40"/>
    <mergeCell ref="F41:G41"/>
  </mergeCells>
  <hyperlinks>
    <hyperlink ref="F4" r:id="rId1" xr:uid="{00000000-0004-0000-0000-000000000000}"/>
    <hyperlink ref="F6" r:id="rId2" xr:uid="{00000000-0004-0000-0000-000001000000}"/>
    <hyperlink ref="F8" r:id="rId3" xr:uid="{00000000-0004-0000-0000-000003000000}"/>
    <hyperlink ref="F35" r:id="rId4" xr:uid="{00000000-0004-0000-0000-000018000000}"/>
    <hyperlink ref="F36" r:id="rId5" xr:uid="{00000000-0004-0000-0000-000019000000}"/>
    <hyperlink ref="F37" r:id="rId6" xr:uid="{00000000-0004-0000-0000-00001A000000}"/>
    <hyperlink ref="F45" r:id="rId7" xr:uid="{00000000-0004-0000-0000-00001C000000}"/>
    <hyperlink ref="F48" r:id="rId8" xr:uid="{00000000-0004-0000-0000-00001D000000}"/>
    <hyperlink ref="F52" r:id="rId9" xr:uid="{00000000-0004-0000-0000-00001E000000}"/>
    <hyperlink ref="F82" r:id="rId10" xr:uid="{00000000-0004-0000-0000-00003A000000}"/>
    <hyperlink ref="F83" r:id="rId11" xr:uid="{00000000-0004-0000-0000-00003B000000}"/>
    <hyperlink ref="F84" r:id="rId12" xr:uid="{00000000-0004-0000-0000-00003C000000}"/>
    <hyperlink ref="F85" r:id="rId13" xr:uid="{00000000-0004-0000-0000-00003D000000}"/>
    <hyperlink ref="F86" r:id="rId14" xr:uid="{00000000-0004-0000-0000-00003E000000}"/>
    <hyperlink ref="F87" r:id="rId15" xr:uid="{00000000-0004-0000-0000-00003F000000}"/>
    <hyperlink ref="F88" r:id="rId16" xr:uid="{00000000-0004-0000-0000-000040000000}"/>
    <hyperlink ref="F89" r:id="rId17" xr:uid="{00000000-0004-0000-0000-000041000000}"/>
    <hyperlink ref="F90" r:id="rId18" xr:uid="{00000000-0004-0000-0000-000042000000}"/>
    <hyperlink ref="F91" r:id="rId19" xr:uid="{00000000-0004-0000-0000-000043000000}"/>
    <hyperlink ref="F93" r:id="rId20" xr:uid="{00000000-0004-0000-0000-000044000000}"/>
    <hyperlink ref="F94" r:id="rId21" xr:uid="{00000000-0004-0000-0000-000045000000}"/>
    <hyperlink ref="F95" r:id="rId22" xr:uid="{00000000-0004-0000-0000-000046000000}"/>
    <hyperlink ref="F96" r:id="rId23" xr:uid="{00000000-0004-0000-0000-000047000000}"/>
    <hyperlink ref="F97" r:id="rId24" xr:uid="{00000000-0004-0000-0000-000048000000}"/>
    <hyperlink ref="F98" r:id="rId25" xr:uid="{00000000-0004-0000-0000-000049000000}"/>
    <hyperlink ref="F38" r:id="rId26" xr:uid="{00000000-0004-0000-0000-00001B000000}"/>
    <hyperlink ref="F46" r:id="rId27" xr:uid="{454FB29B-EB5B-45E2-9934-2869B74B5DF9}"/>
    <hyperlink ref="F79" r:id="rId28" xr:uid="{00000000-0004-0000-0000-000039000000}"/>
    <hyperlink ref="F78" r:id="rId29" xr:uid="{00000000-0004-0000-0000-000038000000}"/>
    <hyperlink ref="F77" r:id="rId30" xr:uid="{00000000-0004-0000-0000-000037000000}"/>
    <hyperlink ref="F76" r:id="rId31" xr:uid="{00000000-0004-0000-0000-000036000000}"/>
    <hyperlink ref="F75" r:id="rId32" xr:uid="{00000000-0004-0000-0000-000035000000}"/>
    <hyperlink ref="F74" r:id="rId33" xr:uid="{00000000-0004-0000-0000-000034000000}"/>
    <hyperlink ref="F73" r:id="rId34" xr:uid="{00000000-0004-0000-0000-000033000000}"/>
    <hyperlink ref="F72" r:id="rId35" xr:uid="{00000000-0004-0000-0000-000032000000}"/>
    <hyperlink ref="F71" r:id="rId36" xr:uid="{00000000-0004-0000-0000-000031000000}"/>
    <hyperlink ref="F70" r:id="rId37" xr:uid="{00000000-0004-0000-0000-000030000000}"/>
    <hyperlink ref="F69" r:id="rId38" xr:uid="{00000000-0004-0000-0000-00002F000000}"/>
    <hyperlink ref="F68" r:id="rId39" xr:uid="{00000000-0004-0000-0000-00002E000000}"/>
    <hyperlink ref="F67" r:id="rId40" xr:uid="{00000000-0004-0000-0000-00002D000000}"/>
    <hyperlink ref="F66" r:id="rId41" xr:uid="{00000000-0004-0000-0000-00002C000000}"/>
    <hyperlink ref="F65" r:id="rId42" xr:uid="{00000000-0004-0000-0000-00002B000000}"/>
    <hyperlink ref="F64" r:id="rId43" xr:uid="{00000000-0004-0000-0000-00002A000000}"/>
    <hyperlink ref="F63" r:id="rId44" xr:uid="{00000000-0004-0000-0000-000029000000}"/>
    <hyperlink ref="F62" r:id="rId45" xr:uid="{00000000-0004-0000-0000-000028000000}"/>
    <hyperlink ref="F61" r:id="rId46" xr:uid="{00000000-0004-0000-0000-000027000000}"/>
    <hyperlink ref="F60" r:id="rId47" xr:uid="{00000000-0004-0000-0000-000026000000}"/>
    <hyperlink ref="F59" r:id="rId48" xr:uid="{00000000-0004-0000-0000-000025000000}"/>
    <hyperlink ref="F58" r:id="rId49" xr:uid="{00000000-0004-0000-0000-000024000000}"/>
    <hyperlink ref="F57" r:id="rId50" xr:uid="{00000000-0004-0000-0000-000023000000}"/>
    <hyperlink ref="F56" r:id="rId51" xr:uid="{00000000-0004-0000-0000-000022000000}"/>
    <hyperlink ref="F55" r:id="rId52" xr:uid="{00000000-0004-0000-0000-000021000000}"/>
    <hyperlink ref="F54" r:id="rId53" xr:uid="{00000000-0004-0000-0000-000020000000}"/>
    <hyperlink ref="F53" r:id="rId54" xr:uid="{00000000-0004-0000-0000-00001F000000}"/>
    <hyperlink ref="F42" r:id="rId55" display="https://www.amazon.com/EDGELEC-Breadboard-1pin-1pin-Connector-Multicolored/dp/B07GCZBH51/ref=sr_1_6?dchild=1&amp;keywords=Dupont%2B2.54mm%2B2-Pin%2BTwisted%2Bon%2BFemale%2Bto%2BFemale&amp;qid=1623348565&amp;sr=8-6&amp;th=1" xr:uid="{360F3D8C-2ED6-4ECE-BE7F-756962E0CADC}"/>
    <hyperlink ref="F7" r:id="rId56" xr:uid="{7ADAA5AF-A176-4CDB-B186-88D79DA3E067}"/>
    <hyperlink ref="F34" r:id="rId57" xr:uid="{00000000-0004-0000-0000-000015000000}"/>
    <hyperlink ref="F32" r:id="rId58" xr:uid="{00000000-0004-0000-0000-000014000000}"/>
    <hyperlink ref="F31" r:id="rId59" xr:uid="{00000000-0004-0000-0000-000013000000}"/>
    <hyperlink ref="F30" r:id="rId60" xr:uid="{00000000-0004-0000-0000-000012000000}"/>
    <hyperlink ref="F29" r:id="rId61" xr:uid="{00000000-0004-0000-0000-000011000000}"/>
    <hyperlink ref="F28" r:id="rId62" xr:uid="{00000000-0004-0000-0000-000010000000}"/>
    <hyperlink ref="F27" r:id="rId63" xr:uid="{00000000-0004-0000-0000-00000F000000}"/>
    <hyperlink ref="F26" r:id="rId64" xr:uid="{00000000-0004-0000-0000-00000E000000}"/>
    <hyperlink ref="F25" r:id="rId65" xr:uid="{00000000-0004-0000-0000-00000D000000}"/>
    <hyperlink ref="F23" r:id="rId66" xr:uid="{00000000-0004-0000-0000-00000B000000}"/>
    <hyperlink ref="F21" r:id="rId67" xr:uid="{00000000-0004-0000-0000-000009000000}"/>
    <hyperlink ref="F20" r:id="rId68" xr:uid="{00000000-0004-0000-0000-000008000000}"/>
    <hyperlink ref="F19" r:id="rId69" xr:uid="{00000000-0004-0000-0000-000007000000}"/>
    <hyperlink ref="F16" r:id="rId70" xr:uid="{00000000-0004-0000-0000-000006000000}"/>
    <hyperlink ref="F9" r:id="rId71" xr:uid="{00000000-0004-0000-0000-000005000000}"/>
    <hyperlink ref="F17" r:id="rId72" xr:uid="{AE212094-AA82-4C0C-AF1E-4B51D8F797FA}"/>
    <hyperlink ref="F18" r:id="rId73" xr:uid="{11BE5682-BF9B-4375-8CE6-F3E0F91E703D}"/>
    <hyperlink ref="F92" r:id="rId74" xr:uid="{925FCD95-4665-4481-98DD-84FCC604B9F9}"/>
    <hyperlink ref="F101" r:id="rId75" xr:uid="{F4B34013-2538-47A6-AA92-2B4AD39FF242}"/>
    <hyperlink ref="F104" r:id="rId76" xr:uid="{6A01326A-3ECC-488B-A6D3-9309B5EBA0BE}"/>
    <hyperlink ref="F40" r:id="rId77" xr:uid="{A09FCC8C-EED4-4230-809F-AB1E9B36A50C}"/>
    <hyperlink ref="F107" r:id="rId78" xr:uid="{240D3D57-31EF-4068-B699-D4755C52F2ED}"/>
    <hyperlink ref="F39" r:id="rId79" xr:uid="{3A737759-F3C2-43EC-A0BD-11C12A560D0A}"/>
    <hyperlink ref="F24" r:id="rId80" xr:uid="{1474DDE7-74DA-480D-9350-A1D7B4FFE811}"/>
    <hyperlink ref="F33" r:id="rId81" xr:uid="{E336A36E-AC56-4D28-9D94-5057FE34AD8C}"/>
    <hyperlink ref="F49" r:id="rId82" xr:uid="{F42DA32A-A572-4FC1-81C6-098FC3DCC802}"/>
    <hyperlink ref="F103" r:id="rId83" display="https://www.sparkfun.com/lilypad-mp3.html" xr:uid="{34D493DE-33A3-4FC3-8A88-2CAE9FAD1EF9}"/>
    <hyperlink ref="F109" r:id="rId84" xr:uid="{5AC5AD68-F367-471D-86DE-5B580FFAACFE}"/>
  </hyperlinks>
  <pageMargins left="0.5" right="0.5" top="0.75" bottom="0.75" header="0" footer="0"/>
  <pageSetup scale="72" orientation="portrait" r:id="rId85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B2C7-42E0-4035-9CB5-3F0E515BE095}">
  <dimension ref="A1:A15"/>
  <sheetViews>
    <sheetView workbookViewId="0">
      <selection activeCell="A8" sqref="A8"/>
    </sheetView>
  </sheetViews>
  <sheetFormatPr defaultRowHeight="12.75"/>
  <cols>
    <col min="1" max="1" width="20.28515625" customWidth="1"/>
  </cols>
  <sheetData>
    <row r="1" spans="1:1">
      <c r="A1" t="s">
        <v>210</v>
      </c>
    </row>
    <row r="2" spans="1:1">
      <c r="A2" t="s">
        <v>212</v>
      </c>
    </row>
    <row r="3" spans="1:1">
      <c r="A3" t="s">
        <v>213</v>
      </c>
    </row>
    <row r="4" spans="1:1">
      <c r="A4" t="s">
        <v>214</v>
      </c>
    </row>
    <row r="15" spans="1:1">
      <c r="A15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9C54-33CD-48F9-B17D-71B4F518AD4C}">
  <dimension ref="A1:F99"/>
  <sheetViews>
    <sheetView tabSelected="1" topLeftCell="A25" workbookViewId="0">
      <selection activeCell="F34" sqref="F34"/>
    </sheetView>
  </sheetViews>
  <sheetFormatPr defaultRowHeight="12.75"/>
  <cols>
    <col min="1" max="1" width="39.28515625" customWidth="1"/>
    <col min="2" max="2" width="10.28515625" customWidth="1"/>
    <col min="5" max="5" width="12.7109375" customWidth="1"/>
    <col min="6" max="6" width="78.5703125" customWidth="1"/>
  </cols>
  <sheetData>
    <row r="1" spans="1:6" ht="20.25">
      <c r="A1" s="79" t="s">
        <v>206</v>
      </c>
      <c r="B1" s="80"/>
      <c r="C1" s="80"/>
      <c r="D1" s="80"/>
      <c r="E1" s="80"/>
      <c r="F1" s="80"/>
    </row>
    <row r="2" spans="1:6" ht="25.5">
      <c r="A2" s="77" t="s">
        <v>1</v>
      </c>
      <c r="B2" s="77" t="s">
        <v>2</v>
      </c>
      <c r="C2" s="77" t="s">
        <v>3</v>
      </c>
      <c r="D2" s="77" t="s">
        <v>4</v>
      </c>
      <c r="E2" s="77" t="s">
        <v>5</v>
      </c>
      <c r="F2" s="77" t="s">
        <v>6</v>
      </c>
    </row>
    <row r="3" spans="1:6">
      <c r="A3" s="6" t="s">
        <v>8</v>
      </c>
      <c r="B3" s="7"/>
      <c r="C3" s="8"/>
      <c r="D3" s="9"/>
      <c r="E3" s="9"/>
      <c r="F3" s="11"/>
    </row>
    <row r="4" spans="1:6">
      <c r="A4" s="12" t="s">
        <v>207</v>
      </c>
      <c r="B4" s="98">
        <v>1</v>
      </c>
      <c r="C4" s="99">
        <v>1</v>
      </c>
      <c r="D4" s="100">
        <v>19.95</v>
      </c>
      <c r="E4" s="100">
        <f t="shared" ref="E4:E12" si="0">D4*C4</f>
        <v>19.95</v>
      </c>
      <c r="F4" s="101" t="s">
        <v>12</v>
      </c>
    </row>
    <row r="5" spans="1:6">
      <c r="A5" s="12" t="s">
        <v>13</v>
      </c>
      <c r="B5" s="13">
        <v>1</v>
      </c>
      <c r="C5" s="14">
        <v>1</v>
      </c>
      <c r="D5" s="15">
        <v>2</v>
      </c>
      <c r="E5" s="15">
        <f t="shared" si="0"/>
        <v>2</v>
      </c>
      <c r="F5" s="69" t="s">
        <v>14</v>
      </c>
    </row>
    <row r="6" spans="1:6" ht="25.5">
      <c r="A6" s="12" t="s">
        <v>15</v>
      </c>
      <c r="B6" s="13">
        <v>2</v>
      </c>
      <c r="C6" s="14">
        <v>2</v>
      </c>
      <c r="D6" s="15">
        <v>21.95</v>
      </c>
      <c r="E6" s="15">
        <f t="shared" si="0"/>
        <v>43.9</v>
      </c>
      <c r="F6" s="69" t="s">
        <v>14</v>
      </c>
    </row>
    <row r="7" spans="1:6">
      <c r="A7" s="12" t="s">
        <v>16</v>
      </c>
      <c r="B7" s="13">
        <v>1</v>
      </c>
      <c r="C7" s="14">
        <v>1</v>
      </c>
      <c r="D7" s="15">
        <v>6.95</v>
      </c>
      <c r="E7" s="15">
        <f t="shared" si="0"/>
        <v>6.95</v>
      </c>
      <c r="F7" s="69" t="s">
        <v>14</v>
      </c>
    </row>
    <row r="8" spans="1:6">
      <c r="A8" s="12" t="s">
        <v>17</v>
      </c>
      <c r="B8" s="13">
        <v>1</v>
      </c>
      <c r="C8" s="14">
        <v>1</v>
      </c>
      <c r="D8" s="15">
        <v>8.9499999999999993</v>
      </c>
      <c r="E8" s="15">
        <f t="shared" si="0"/>
        <v>8.9499999999999993</v>
      </c>
      <c r="F8" s="69" t="s">
        <v>14</v>
      </c>
    </row>
    <row r="9" spans="1:6" ht="25.5">
      <c r="A9" s="12" t="s">
        <v>18</v>
      </c>
      <c r="B9" s="13">
        <v>2</v>
      </c>
      <c r="C9" s="14">
        <v>2</v>
      </c>
      <c r="D9" s="15">
        <v>0.95</v>
      </c>
      <c r="E9" s="15">
        <f t="shared" si="0"/>
        <v>1.9</v>
      </c>
      <c r="F9" s="58" t="s">
        <v>19</v>
      </c>
    </row>
    <row r="10" spans="1:6" ht="25.5">
      <c r="A10" s="12" t="s">
        <v>20</v>
      </c>
      <c r="B10" s="13">
        <v>2</v>
      </c>
      <c r="C10" s="14">
        <v>2</v>
      </c>
      <c r="D10" s="15">
        <v>4.95</v>
      </c>
      <c r="E10" s="15">
        <f t="shared" si="0"/>
        <v>9.9</v>
      </c>
      <c r="F10" s="58" t="s">
        <v>21</v>
      </c>
    </row>
    <row r="11" spans="1:6" ht="25.5">
      <c r="A11" s="12" t="s">
        <v>22</v>
      </c>
      <c r="B11" s="13">
        <v>1</v>
      </c>
      <c r="C11" s="14">
        <v>1</v>
      </c>
      <c r="D11" s="15">
        <v>5.95</v>
      </c>
      <c r="E11" s="15">
        <f t="shared" si="0"/>
        <v>5.95</v>
      </c>
      <c r="F11" s="58" t="s">
        <v>23</v>
      </c>
    </row>
    <row r="12" spans="1:6" ht="25.5">
      <c r="A12" s="12" t="s">
        <v>24</v>
      </c>
      <c r="B12" s="13">
        <v>2</v>
      </c>
      <c r="C12" s="14">
        <v>2</v>
      </c>
      <c r="D12" s="15">
        <v>7.95</v>
      </c>
      <c r="E12" s="15">
        <f t="shared" si="0"/>
        <v>15.9</v>
      </c>
      <c r="F12" s="58" t="s">
        <v>25</v>
      </c>
    </row>
    <row r="13" spans="1:6">
      <c r="A13" s="12"/>
      <c r="B13" s="16"/>
      <c r="C13" s="17"/>
      <c r="D13" s="18"/>
      <c r="E13" s="18">
        <f>SUM(E4:E12)</f>
        <v>115.40000000000002</v>
      </c>
      <c r="F13" s="58"/>
    </row>
    <row r="14" spans="1:6">
      <c r="A14" s="21" t="s">
        <v>26</v>
      </c>
      <c r="B14" s="22"/>
      <c r="C14" s="23"/>
      <c r="D14" s="24"/>
      <c r="E14" s="24"/>
      <c r="F14" s="26"/>
    </row>
    <row r="15" spans="1:6">
      <c r="A15" s="12" t="s">
        <v>27</v>
      </c>
      <c r="B15" s="13">
        <v>1</v>
      </c>
      <c r="C15" s="14"/>
      <c r="D15" s="15">
        <v>112.99</v>
      </c>
      <c r="E15" s="15">
        <f t="shared" ref="E15:E37" si="1">D15*C15</f>
        <v>0</v>
      </c>
      <c r="F15" s="69" t="s">
        <v>28</v>
      </c>
    </row>
    <row r="16" spans="1:6">
      <c r="A16" s="12" t="s">
        <v>29</v>
      </c>
      <c r="B16" s="13">
        <v>1</v>
      </c>
      <c r="C16" s="14"/>
      <c r="D16" s="15">
        <v>60</v>
      </c>
      <c r="E16" s="15">
        <f t="shared" si="1"/>
        <v>0</v>
      </c>
      <c r="F16" s="69" t="s">
        <v>30</v>
      </c>
    </row>
    <row r="17" spans="1:6" ht="25.5">
      <c r="A17" s="12" t="s">
        <v>31</v>
      </c>
      <c r="B17" s="13">
        <v>1</v>
      </c>
      <c r="C17" s="14">
        <v>1</v>
      </c>
      <c r="D17" s="15">
        <v>100</v>
      </c>
      <c r="E17" s="15">
        <f t="shared" si="1"/>
        <v>100</v>
      </c>
      <c r="F17" s="69" t="s">
        <v>30</v>
      </c>
    </row>
    <row r="18" spans="1:6" ht="25.5">
      <c r="A18" s="12" t="s">
        <v>32</v>
      </c>
      <c r="B18" s="13">
        <v>1</v>
      </c>
      <c r="C18" s="14">
        <v>1</v>
      </c>
      <c r="D18" s="15">
        <v>25</v>
      </c>
      <c r="E18" s="15">
        <f t="shared" si="1"/>
        <v>25</v>
      </c>
      <c r="F18" s="69" t="s">
        <v>33</v>
      </c>
    </row>
    <row r="19" spans="1:6">
      <c r="A19" s="12" t="s">
        <v>34</v>
      </c>
      <c r="B19" s="13">
        <v>4</v>
      </c>
      <c r="C19" s="14">
        <v>1</v>
      </c>
      <c r="D19" s="15">
        <v>9.7899999999999991</v>
      </c>
      <c r="E19" s="15">
        <f t="shared" si="1"/>
        <v>9.7899999999999991</v>
      </c>
      <c r="F19" s="69" t="s">
        <v>28</v>
      </c>
    </row>
    <row r="20" spans="1:6">
      <c r="A20" s="12" t="s">
        <v>35</v>
      </c>
      <c r="B20" s="13">
        <v>1</v>
      </c>
      <c r="C20" s="14">
        <v>1</v>
      </c>
      <c r="D20" s="15">
        <v>16.989999999999998</v>
      </c>
      <c r="E20" s="15">
        <f t="shared" si="1"/>
        <v>16.989999999999998</v>
      </c>
      <c r="F20" s="69" t="s">
        <v>28</v>
      </c>
    </row>
    <row r="21" spans="1:6" ht="63.75">
      <c r="A21" s="12" t="s">
        <v>36</v>
      </c>
      <c r="B21" s="13">
        <v>1</v>
      </c>
      <c r="C21" s="14">
        <v>1</v>
      </c>
      <c r="D21" s="15">
        <v>15.99</v>
      </c>
      <c r="E21" s="15">
        <v>15.99</v>
      </c>
      <c r="F21" s="69" t="s">
        <v>37</v>
      </c>
    </row>
    <row r="22" spans="1:6">
      <c r="A22" s="12" t="s">
        <v>38</v>
      </c>
      <c r="B22" s="13">
        <v>1</v>
      </c>
      <c r="C22" s="14">
        <v>0</v>
      </c>
      <c r="D22" s="15">
        <v>9.99</v>
      </c>
      <c r="E22" s="15">
        <f t="shared" si="1"/>
        <v>0</v>
      </c>
      <c r="F22" s="70" t="s">
        <v>28</v>
      </c>
    </row>
    <row r="23" spans="1:6" ht="25.5">
      <c r="A23" s="12" t="s">
        <v>39</v>
      </c>
      <c r="B23" s="13">
        <v>1</v>
      </c>
      <c r="C23" s="14">
        <v>1</v>
      </c>
      <c r="D23" s="15">
        <v>13.99</v>
      </c>
      <c r="E23" s="15">
        <f t="shared" si="1"/>
        <v>13.99</v>
      </c>
      <c r="F23" s="70" t="s">
        <v>40</v>
      </c>
    </row>
    <row r="24" spans="1:6" ht="38.25">
      <c r="A24" s="12" t="s">
        <v>41</v>
      </c>
      <c r="B24" s="13">
        <v>1</v>
      </c>
      <c r="C24" s="14">
        <v>1</v>
      </c>
      <c r="D24" s="15">
        <v>4.96</v>
      </c>
      <c r="E24" s="15">
        <f t="shared" si="1"/>
        <v>4.96</v>
      </c>
      <c r="F24" s="58" t="s">
        <v>42</v>
      </c>
    </row>
    <row r="25" spans="1:6" ht="51">
      <c r="A25" s="12" t="s">
        <v>43</v>
      </c>
      <c r="B25" s="13">
        <v>1</v>
      </c>
      <c r="C25" s="14">
        <v>1</v>
      </c>
      <c r="D25" s="15">
        <v>7.42</v>
      </c>
      <c r="E25" s="15">
        <f t="shared" si="1"/>
        <v>7.42</v>
      </c>
      <c r="F25" s="58" t="s">
        <v>44</v>
      </c>
    </row>
    <row r="26" spans="1:6" ht="25.5">
      <c r="A26" s="27" t="s">
        <v>45</v>
      </c>
      <c r="B26" s="13">
        <v>1</v>
      </c>
      <c r="C26" s="14">
        <v>1</v>
      </c>
      <c r="D26" s="15">
        <v>23</v>
      </c>
      <c r="E26" s="15">
        <f t="shared" si="1"/>
        <v>23</v>
      </c>
      <c r="F26" s="71" t="s">
        <v>46</v>
      </c>
    </row>
    <row r="27" spans="1:6" ht="76.5">
      <c r="A27" s="12" t="s">
        <v>47</v>
      </c>
      <c r="B27" s="13">
        <v>1</v>
      </c>
      <c r="C27" s="14">
        <v>1</v>
      </c>
      <c r="D27" s="15">
        <v>5.55</v>
      </c>
      <c r="E27" s="15">
        <f t="shared" si="1"/>
        <v>5.55</v>
      </c>
      <c r="F27" s="58" t="s">
        <v>48</v>
      </c>
    </row>
    <row r="28" spans="1:6" ht="153">
      <c r="A28" s="12" t="s">
        <v>49</v>
      </c>
      <c r="B28" s="13">
        <v>2</v>
      </c>
      <c r="C28" s="14">
        <v>2</v>
      </c>
      <c r="D28" s="15">
        <v>42.99</v>
      </c>
      <c r="E28" s="15">
        <f t="shared" si="1"/>
        <v>85.98</v>
      </c>
      <c r="F28" s="69" t="s">
        <v>225</v>
      </c>
    </row>
    <row r="29" spans="1:6" ht="25.5">
      <c r="A29" s="12" t="s">
        <v>228</v>
      </c>
      <c r="B29" s="13">
        <v>1</v>
      </c>
      <c r="C29" s="14">
        <v>1</v>
      </c>
      <c r="D29" s="15">
        <v>10</v>
      </c>
      <c r="E29" s="15">
        <f t="shared" si="1"/>
        <v>10</v>
      </c>
      <c r="F29" s="69" t="s">
        <v>232</v>
      </c>
    </row>
    <row r="30" spans="1:6" ht="25.5">
      <c r="A30" s="12" t="s">
        <v>226</v>
      </c>
      <c r="B30" s="13">
        <v>1</v>
      </c>
      <c r="C30" s="14">
        <v>1</v>
      </c>
      <c r="D30" s="15">
        <v>16</v>
      </c>
      <c r="E30" s="15">
        <f t="shared" si="1"/>
        <v>16</v>
      </c>
      <c r="F30" s="55" t="s">
        <v>227</v>
      </c>
    </row>
    <row r="31" spans="1:6" ht="25.5">
      <c r="A31" s="12" t="s">
        <v>57</v>
      </c>
      <c r="B31" s="13">
        <v>1</v>
      </c>
      <c r="C31" s="14">
        <v>1</v>
      </c>
      <c r="D31" s="15">
        <v>26.76</v>
      </c>
      <c r="E31" s="15">
        <f t="shared" si="1"/>
        <v>26.76</v>
      </c>
      <c r="F31" s="70" t="s">
        <v>58</v>
      </c>
    </row>
    <row r="32" spans="1:6">
      <c r="A32" s="12" t="s">
        <v>223</v>
      </c>
      <c r="B32" s="13">
        <v>1</v>
      </c>
      <c r="C32" s="14">
        <v>1</v>
      </c>
      <c r="D32" s="15">
        <v>24.17</v>
      </c>
      <c r="E32" s="15">
        <f t="shared" si="1"/>
        <v>24.17</v>
      </c>
      <c r="F32" s="68" t="s">
        <v>224</v>
      </c>
    </row>
    <row r="33" spans="1:6" ht="25.5">
      <c r="A33" s="12" t="s">
        <v>233</v>
      </c>
      <c r="B33" s="13">
        <v>1</v>
      </c>
      <c r="C33" s="14">
        <v>1</v>
      </c>
      <c r="D33" s="15">
        <v>10</v>
      </c>
      <c r="E33" s="15">
        <f t="shared" si="1"/>
        <v>10</v>
      </c>
      <c r="F33" s="55" t="s">
        <v>234</v>
      </c>
    </row>
    <row r="34" spans="1:6" ht="25.5">
      <c r="A34" s="12" t="s">
        <v>67</v>
      </c>
      <c r="B34" s="13">
        <v>1</v>
      </c>
      <c r="C34" s="14">
        <v>1</v>
      </c>
      <c r="D34" s="15">
        <v>5.6</v>
      </c>
      <c r="E34" s="15">
        <f t="shared" si="1"/>
        <v>5.6</v>
      </c>
      <c r="F34" s="66" t="s">
        <v>68</v>
      </c>
    </row>
    <row r="35" spans="1:6" ht="38.25">
      <c r="A35" s="12" t="s">
        <v>69</v>
      </c>
      <c r="B35" s="13">
        <v>1</v>
      </c>
      <c r="C35" s="14">
        <v>1</v>
      </c>
      <c r="D35" s="15">
        <v>8.99</v>
      </c>
      <c r="E35" s="15">
        <f t="shared" si="1"/>
        <v>8.99</v>
      </c>
      <c r="F35" s="68" t="s">
        <v>70</v>
      </c>
    </row>
    <row r="36" spans="1:6" ht="38.25">
      <c r="A36" s="12" t="s">
        <v>71</v>
      </c>
      <c r="B36" s="13">
        <v>1</v>
      </c>
      <c r="C36" s="14">
        <v>1</v>
      </c>
      <c r="D36" s="15">
        <v>7.99</v>
      </c>
      <c r="E36" s="15">
        <f t="shared" si="1"/>
        <v>7.99</v>
      </c>
      <c r="F36" s="68" t="s">
        <v>72</v>
      </c>
    </row>
    <row r="37" spans="1:6" ht="38.25">
      <c r="A37" s="12" t="s">
        <v>73</v>
      </c>
      <c r="B37" s="13">
        <v>1</v>
      </c>
      <c r="C37" s="14">
        <v>1</v>
      </c>
      <c r="D37" s="15">
        <v>7.99</v>
      </c>
      <c r="E37" s="15">
        <f t="shared" si="1"/>
        <v>7.99</v>
      </c>
      <c r="F37" s="66" t="s">
        <v>74</v>
      </c>
    </row>
    <row r="38" spans="1:6" ht="38.25">
      <c r="A38" s="12" t="s">
        <v>75</v>
      </c>
      <c r="B38" s="13">
        <v>1</v>
      </c>
      <c r="C38" s="14">
        <v>1</v>
      </c>
      <c r="D38" s="15">
        <v>5</v>
      </c>
      <c r="E38" s="15">
        <v>5</v>
      </c>
      <c r="F38" s="67" t="s">
        <v>76</v>
      </c>
    </row>
    <row r="39" spans="1:6">
      <c r="A39" s="12"/>
      <c r="B39" s="16"/>
      <c r="C39" s="17"/>
      <c r="D39" s="18"/>
      <c r="E39" s="18">
        <f>SUM(E15:E38)</f>
        <v>431.17000000000007</v>
      </c>
      <c r="F39" s="58"/>
    </row>
    <row r="40" spans="1:6">
      <c r="A40" s="29" t="s">
        <v>77</v>
      </c>
      <c r="B40" s="22"/>
      <c r="C40" s="23"/>
      <c r="D40" s="24"/>
      <c r="E40" s="24"/>
      <c r="F40" s="26"/>
    </row>
    <row r="41" spans="1:6" ht="38.25">
      <c r="A41" s="12" t="s">
        <v>78</v>
      </c>
      <c r="B41" s="13">
        <v>1</v>
      </c>
      <c r="C41" s="14">
        <v>1</v>
      </c>
      <c r="D41" s="15">
        <v>31.5</v>
      </c>
      <c r="E41" s="15">
        <f>D41*C41</f>
        <v>31.5</v>
      </c>
      <c r="F41" s="69" t="s">
        <v>79</v>
      </c>
    </row>
    <row r="42" spans="1:6" ht="25.5">
      <c r="A42" s="12" t="s">
        <v>80</v>
      </c>
      <c r="B42" s="13">
        <v>1</v>
      </c>
      <c r="C42" s="14">
        <v>1</v>
      </c>
      <c r="D42" s="15">
        <v>5</v>
      </c>
      <c r="E42" s="15">
        <v>5</v>
      </c>
      <c r="F42" s="65" t="s">
        <v>81</v>
      </c>
    </row>
    <row r="43" spans="1:6">
      <c r="A43" s="29" t="s">
        <v>82</v>
      </c>
      <c r="B43" s="22"/>
      <c r="C43" s="23"/>
      <c r="D43" s="24"/>
      <c r="E43" s="24"/>
      <c r="F43" s="26"/>
    </row>
    <row r="44" spans="1:6">
      <c r="A44" s="12" t="s">
        <v>83</v>
      </c>
      <c r="B44" s="13">
        <v>2</v>
      </c>
      <c r="C44" s="14">
        <v>2</v>
      </c>
      <c r="D44" s="15">
        <v>29</v>
      </c>
      <c r="E44" s="15">
        <f>D44*C44</f>
        <v>58</v>
      </c>
      <c r="F44" s="64" t="s">
        <v>84</v>
      </c>
    </row>
    <row r="45" spans="1:6">
      <c r="A45" s="12" t="s">
        <v>87</v>
      </c>
      <c r="B45" s="13">
        <v>1</v>
      </c>
      <c r="C45" s="14">
        <v>1</v>
      </c>
      <c r="D45" s="15">
        <v>6</v>
      </c>
      <c r="E45" s="15">
        <f>D45*C45</f>
        <v>6</v>
      </c>
      <c r="F45" s="55" t="s">
        <v>222</v>
      </c>
    </row>
    <row r="46" spans="1:6">
      <c r="A46" s="29" t="s">
        <v>88</v>
      </c>
      <c r="B46" s="22"/>
      <c r="C46" s="23"/>
      <c r="D46" s="24"/>
      <c r="E46" s="24"/>
      <c r="F46" s="26"/>
    </row>
    <row r="47" spans="1:6">
      <c r="A47" s="12" t="s">
        <v>89</v>
      </c>
      <c r="B47" s="13">
        <v>6</v>
      </c>
      <c r="C47" s="14">
        <v>1</v>
      </c>
      <c r="D47" s="15">
        <v>2.4</v>
      </c>
      <c r="E47" s="15">
        <f t="shared" ref="E47:E48" si="2">D47*C47</f>
        <v>2.4</v>
      </c>
      <c r="F47" s="64" t="s">
        <v>90</v>
      </c>
    </row>
    <row r="48" spans="1:6">
      <c r="A48" s="12" t="s">
        <v>91</v>
      </c>
      <c r="B48" s="13">
        <v>8</v>
      </c>
      <c r="C48" s="14">
        <v>1</v>
      </c>
      <c r="D48" s="15">
        <v>2.94</v>
      </c>
      <c r="E48" s="15">
        <f t="shared" si="2"/>
        <v>2.94</v>
      </c>
      <c r="F48" s="64" t="s">
        <v>92</v>
      </c>
    </row>
    <row r="49" spans="1:6">
      <c r="A49" s="12" t="s">
        <v>93</v>
      </c>
      <c r="B49" s="13">
        <v>25</v>
      </c>
      <c r="C49" s="14">
        <v>1</v>
      </c>
      <c r="D49" s="15">
        <v>2.19</v>
      </c>
      <c r="E49" s="15">
        <v>2.19</v>
      </c>
      <c r="F49" s="64" t="s">
        <v>94</v>
      </c>
    </row>
    <row r="50" spans="1:6">
      <c r="A50" s="12" t="s">
        <v>95</v>
      </c>
      <c r="B50" s="13">
        <v>100</v>
      </c>
      <c r="C50" s="14">
        <v>1</v>
      </c>
      <c r="D50" s="15">
        <v>1.2</v>
      </c>
      <c r="E50" s="15">
        <f t="shared" ref="E50:E74" si="3">D50*C50</f>
        <v>1.2</v>
      </c>
      <c r="F50" s="64" t="s">
        <v>96</v>
      </c>
    </row>
    <row r="51" spans="1:6">
      <c r="A51" s="12" t="s">
        <v>97</v>
      </c>
      <c r="B51" s="13">
        <v>2</v>
      </c>
      <c r="C51" s="14">
        <v>1</v>
      </c>
      <c r="D51" s="15">
        <v>3.77</v>
      </c>
      <c r="E51" s="15">
        <f t="shared" si="3"/>
        <v>3.77</v>
      </c>
      <c r="F51" s="64" t="s">
        <v>98</v>
      </c>
    </row>
    <row r="52" spans="1:6">
      <c r="A52" s="12" t="s">
        <v>99</v>
      </c>
      <c r="B52" s="13">
        <v>4</v>
      </c>
      <c r="C52" s="14">
        <v>4</v>
      </c>
      <c r="D52" s="15">
        <v>3.77</v>
      </c>
      <c r="E52" s="15">
        <f t="shared" si="3"/>
        <v>15.08</v>
      </c>
      <c r="F52" s="58" t="s">
        <v>100</v>
      </c>
    </row>
    <row r="53" spans="1:6">
      <c r="A53" s="12" t="s">
        <v>101</v>
      </c>
      <c r="B53" s="13">
        <v>1</v>
      </c>
      <c r="C53" s="14">
        <v>1</v>
      </c>
      <c r="D53" s="15">
        <v>1.1399999999999999</v>
      </c>
      <c r="E53" s="15">
        <f t="shared" si="3"/>
        <v>1.1399999999999999</v>
      </c>
      <c r="F53" s="58" t="s">
        <v>102</v>
      </c>
    </row>
    <row r="54" spans="1:6">
      <c r="A54" s="12" t="s">
        <v>103</v>
      </c>
      <c r="B54" s="13">
        <v>1</v>
      </c>
      <c r="C54" s="14">
        <v>1</v>
      </c>
      <c r="D54" s="15">
        <v>2.65</v>
      </c>
      <c r="E54" s="15">
        <f t="shared" si="3"/>
        <v>2.65</v>
      </c>
      <c r="F54" s="58" t="s">
        <v>104</v>
      </c>
    </row>
    <row r="55" spans="1:6">
      <c r="A55" s="12" t="s">
        <v>105</v>
      </c>
      <c r="B55" s="13">
        <v>8</v>
      </c>
      <c r="C55" s="14">
        <v>1</v>
      </c>
      <c r="D55" s="15">
        <v>8.49</v>
      </c>
      <c r="E55" s="15">
        <f t="shared" si="3"/>
        <v>8.49</v>
      </c>
      <c r="F55" s="58" t="s">
        <v>106</v>
      </c>
    </row>
    <row r="56" spans="1:6">
      <c r="A56" s="12" t="s">
        <v>107</v>
      </c>
      <c r="B56" s="13">
        <v>4</v>
      </c>
      <c r="C56" s="14">
        <v>1</v>
      </c>
      <c r="D56" s="15">
        <v>6.03</v>
      </c>
      <c r="E56" s="15">
        <f t="shared" si="3"/>
        <v>6.03</v>
      </c>
      <c r="F56" s="58" t="s">
        <v>108</v>
      </c>
    </row>
    <row r="57" spans="1:6">
      <c r="A57" s="12" t="s">
        <v>109</v>
      </c>
      <c r="B57" s="13">
        <v>4</v>
      </c>
      <c r="C57" s="14">
        <v>1</v>
      </c>
      <c r="D57" s="15">
        <v>3.72</v>
      </c>
      <c r="E57" s="15">
        <f t="shared" si="3"/>
        <v>3.72</v>
      </c>
      <c r="F57" s="58" t="s">
        <v>110</v>
      </c>
    </row>
    <row r="58" spans="1:6">
      <c r="A58" s="12" t="s">
        <v>111</v>
      </c>
      <c r="B58" s="13">
        <v>4</v>
      </c>
      <c r="C58" s="14">
        <v>1</v>
      </c>
      <c r="D58" s="15">
        <v>3.72</v>
      </c>
      <c r="E58" s="15">
        <f t="shared" si="3"/>
        <v>3.72</v>
      </c>
      <c r="F58" s="58" t="s">
        <v>112</v>
      </c>
    </row>
    <row r="59" spans="1:6">
      <c r="A59" s="12" t="s">
        <v>113</v>
      </c>
      <c r="B59" s="13">
        <v>4</v>
      </c>
      <c r="C59" s="14">
        <v>1</v>
      </c>
      <c r="D59" s="15">
        <v>4.41</v>
      </c>
      <c r="E59" s="15">
        <f t="shared" si="3"/>
        <v>4.41</v>
      </c>
      <c r="F59" s="58" t="s">
        <v>114</v>
      </c>
    </row>
    <row r="60" spans="1:6">
      <c r="A60" s="12" t="s">
        <v>115</v>
      </c>
      <c r="B60" s="13">
        <v>12</v>
      </c>
      <c r="C60" s="14">
        <v>1</v>
      </c>
      <c r="D60" s="15">
        <v>5.42</v>
      </c>
      <c r="E60" s="15">
        <f t="shared" si="3"/>
        <v>5.42</v>
      </c>
      <c r="F60" s="58" t="s">
        <v>116</v>
      </c>
    </row>
    <row r="61" spans="1:6">
      <c r="A61" s="12" t="s">
        <v>117</v>
      </c>
      <c r="B61" s="13">
        <v>8</v>
      </c>
      <c r="C61" s="14">
        <v>1</v>
      </c>
      <c r="D61" s="15">
        <v>3.39</v>
      </c>
      <c r="E61" s="15">
        <f t="shared" si="3"/>
        <v>3.39</v>
      </c>
      <c r="F61" s="58" t="s">
        <v>118</v>
      </c>
    </row>
    <row r="62" spans="1:6">
      <c r="A62" s="12" t="s">
        <v>119</v>
      </c>
      <c r="B62" s="13">
        <v>4</v>
      </c>
      <c r="C62" s="14">
        <v>1</v>
      </c>
      <c r="D62" s="15">
        <v>5.0199999999999996</v>
      </c>
      <c r="E62" s="15">
        <f t="shared" si="3"/>
        <v>5.0199999999999996</v>
      </c>
      <c r="F62" s="58" t="s">
        <v>120</v>
      </c>
    </row>
    <row r="63" spans="1:6">
      <c r="A63" s="12" t="s">
        <v>121</v>
      </c>
      <c r="B63" s="13">
        <v>6</v>
      </c>
      <c r="C63" s="14">
        <v>1</v>
      </c>
      <c r="D63" s="15">
        <v>6.21</v>
      </c>
      <c r="E63" s="15">
        <f t="shared" si="3"/>
        <v>6.21</v>
      </c>
      <c r="F63" s="58" t="s">
        <v>122</v>
      </c>
    </row>
    <row r="64" spans="1:6">
      <c r="A64" s="12" t="s">
        <v>123</v>
      </c>
      <c r="B64" s="13">
        <v>4</v>
      </c>
      <c r="C64" s="14">
        <v>1</v>
      </c>
      <c r="D64" s="15">
        <v>3.57</v>
      </c>
      <c r="E64" s="15">
        <f t="shared" si="3"/>
        <v>3.57</v>
      </c>
      <c r="F64" s="58" t="s">
        <v>124</v>
      </c>
    </row>
    <row r="65" spans="1:6">
      <c r="A65" s="12" t="s">
        <v>125</v>
      </c>
      <c r="B65" s="13">
        <v>11</v>
      </c>
      <c r="C65" s="14">
        <v>1</v>
      </c>
      <c r="D65" s="15">
        <v>8.3800000000000008</v>
      </c>
      <c r="E65" s="15">
        <f t="shared" si="3"/>
        <v>8.3800000000000008</v>
      </c>
      <c r="F65" s="58" t="s">
        <v>126</v>
      </c>
    </row>
    <row r="66" spans="1:6">
      <c r="A66" s="12" t="s">
        <v>127</v>
      </c>
      <c r="B66" s="13">
        <v>1</v>
      </c>
      <c r="C66" s="14">
        <v>1</v>
      </c>
      <c r="D66" s="15">
        <v>6.13</v>
      </c>
      <c r="E66" s="15">
        <f t="shared" si="3"/>
        <v>6.13</v>
      </c>
      <c r="F66" s="58" t="s">
        <v>128</v>
      </c>
    </row>
    <row r="67" spans="1:6">
      <c r="A67" s="12" t="s">
        <v>129</v>
      </c>
      <c r="B67" s="13">
        <v>2</v>
      </c>
      <c r="C67" s="14">
        <v>1</v>
      </c>
      <c r="D67" s="15">
        <v>1.41</v>
      </c>
      <c r="E67" s="15">
        <f t="shared" si="3"/>
        <v>1.41</v>
      </c>
      <c r="F67" s="58" t="s">
        <v>130</v>
      </c>
    </row>
    <row r="68" spans="1:6">
      <c r="A68" s="12" t="s">
        <v>131</v>
      </c>
      <c r="B68" s="30">
        <v>2</v>
      </c>
      <c r="C68" s="30">
        <v>1</v>
      </c>
      <c r="D68" s="31">
        <v>6.81</v>
      </c>
      <c r="E68" s="31">
        <f t="shared" si="3"/>
        <v>6.81</v>
      </c>
      <c r="F68" s="72" t="s">
        <v>132</v>
      </c>
    </row>
    <row r="69" spans="1:6">
      <c r="A69" s="12" t="s">
        <v>133</v>
      </c>
      <c r="B69" s="13">
        <v>14</v>
      </c>
      <c r="C69" s="14">
        <v>1</v>
      </c>
      <c r="D69" s="15">
        <v>10.02</v>
      </c>
      <c r="E69" s="15">
        <f t="shared" si="3"/>
        <v>10.02</v>
      </c>
      <c r="F69" s="58" t="s">
        <v>134</v>
      </c>
    </row>
    <row r="70" spans="1:6">
      <c r="A70" s="12" t="s">
        <v>135</v>
      </c>
      <c r="B70" s="13">
        <v>12</v>
      </c>
      <c r="C70" s="14">
        <v>1</v>
      </c>
      <c r="D70" s="15">
        <v>7.22</v>
      </c>
      <c r="E70" s="15">
        <f t="shared" si="3"/>
        <v>7.22</v>
      </c>
      <c r="F70" s="58" t="s">
        <v>136</v>
      </c>
    </row>
    <row r="71" spans="1:6">
      <c r="A71" s="27" t="s">
        <v>137</v>
      </c>
      <c r="B71" s="13">
        <v>2</v>
      </c>
      <c r="C71" s="14">
        <v>1</v>
      </c>
      <c r="D71" s="15">
        <v>9.6300000000000008</v>
      </c>
      <c r="E71" s="15">
        <f t="shared" si="3"/>
        <v>9.6300000000000008</v>
      </c>
      <c r="F71" s="71" t="s">
        <v>138</v>
      </c>
    </row>
    <row r="72" spans="1:6">
      <c r="A72" s="12" t="s">
        <v>139</v>
      </c>
      <c r="B72" s="13">
        <v>2</v>
      </c>
      <c r="C72" s="14">
        <v>1</v>
      </c>
      <c r="D72" s="15">
        <v>7.86</v>
      </c>
      <c r="E72" s="15">
        <f t="shared" si="3"/>
        <v>7.86</v>
      </c>
      <c r="F72" s="58" t="s">
        <v>140</v>
      </c>
    </row>
    <row r="73" spans="1:6">
      <c r="A73" s="12" t="s">
        <v>141</v>
      </c>
      <c r="B73" s="13">
        <v>1</v>
      </c>
      <c r="C73" s="14">
        <v>1</v>
      </c>
      <c r="D73" s="15">
        <v>9.14</v>
      </c>
      <c r="E73" s="15">
        <f t="shared" si="3"/>
        <v>9.14</v>
      </c>
      <c r="F73" s="58" t="s">
        <v>142</v>
      </c>
    </row>
    <row r="74" spans="1:6">
      <c r="A74" s="12" t="s">
        <v>143</v>
      </c>
      <c r="B74" s="13">
        <v>1</v>
      </c>
      <c r="C74" s="14">
        <v>1</v>
      </c>
      <c r="D74" s="15">
        <v>8.91</v>
      </c>
      <c r="E74" s="15">
        <f t="shared" si="3"/>
        <v>8.91</v>
      </c>
      <c r="F74" s="58" t="s">
        <v>144</v>
      </c>
    </row>
    <row r="75" spans="1:6">
      <c r="A75" s="27"/>
      <c r="B75" s="13"/>
      <c r="C75" s="14"/>
      <c r="D75" s="15"/>
      <c r="E75" s="15">
        <f>SUM(E47:E74)</f>
        <v>156.85999999999999</v>
      </c>
      <c r="F75" s="14"/>
    </row>
    <row r="76" spans="1:6">
      <c r="A76" s="29" t="s">
        <v>145</v>
      </c>
      <c r="B76" s="22"/>
      <c r="C76" s="23"/>
      <c r="D76" s="24"/>
      <c r="E76" s="24"/>
      <c r="F76" s="26"/>
    </row>
    <row r="77" spans="1:6">
      <c r="A77" s="12" t="s">
        <v>150</v>
      </c>
      <c r="B77" s="13">
        <v>8</v>
      </c>
      <c r="C77" s="14">
        <v>8</v>
      </c>
      <c r="D77" s="15">
        <v>9.99</v>
      </c>
      <c r="E77" s="15">
        <f t="shared" ref="E77:E97" si="4">D77*C77</f>
        <v>79.92</v>
      </c>
      <c r="F77" s="58" t="s">
        <v>151</v>
      </c>
    </row>
    <row r="78" spans="1:6">
      <c r="A78" s="12" t="s">
        <v>152</v>
      </c>
      <c r="B78" s="13">
        <v>2</v>
      </c>
      <c r="C78" s="14">
        <v>2</v>
      </c>
      <c r="D78" s="15">
        <v>8.69</v>
      </c>
      <c r="E78" s="15">
        <f t="shared" si="4"/>
        <v>17.38</v>
      </c>
      <c r="F78" s="58" t="s">
        <v>153</v>
      </c>
    </row>
    <row r="79" spans="1:6">
      <c r="A79" s="12" t="s">
        <v>199</v>
      </c>
      <c r="B79" s="13">
        <v>1</v>
      </c>
      <c r="C79" s="14">
        <v>1</v>
      </c>
      <c r="D79" s="15">
        <v>39.99</v>
      </c>
      <c r="E79" s="15">
        <f t="shared" si="4"/>
        <v>39.99</v>
      </c>
      <c r="F79" s="58" t="s">
        <v>154</v>
      </c>
    </row>
    <row r="80" spans="1:6">
      <c r="A80" s="12" t="s">
        <v>155</v>
      </c>
      <c r="B80" s="13">
        <v>1</v>
      </c>
      <c r="C80" s="14">
        <v>1</v>
      </c>
      <c r="D80" s="15">
        <v>39.99</v>
      </c>
      <c r="E80" s="15">
        <f t="shared" si="4"/>
        <v>39.99</v>
      </c>
      <c r="F80" s="58" t="s">
        <v>156</v>
      </c>
    </row>
    <row r="81" spans="1:6">
      <c r="A81" s="93" t="s">
        <v>216</v>
      </c>
      <c r="B81" s="94"/>
      <c r="C81" s="95"/>
      <c r="D81" s="96"/>
      <c r="E81" s="96"/>
      <c r="F81" s="97"/>
    </row>
    <row r="82" spans="1:6" ht="25.5">
      <c r="A82" s="12" t="s">
        <v>202</v>
      </c>
      <c r="B82" s="73">
        <v>1</v>
      </c>
      <c r="C82" s="74">
        <v>1</v>
      </c>
      <c r="D82" s="75">
        <v>9.99</v>
      </c>
      <c r="E82" s="75">
        <f t="shared" si="4"/>
        <v>9.99</v>
      </c>
      <c r="F82" s="76" t="s">
        <v>203</v>
      </c>
    </row>
    <row r="83" spans="1:6" ht="25.5">
      <c r="A83" s="12" t="s">
        <v>201</v>
      </c>
      <c r="B83" s="73">
        <v>1</v>
      </c>
      <c r="C83" s="74">
        <v>1</v>
      </c>
      <c r="D83" s="75">
        <v>7.99</v>
      </c>
      <c r="E83" s="75">
        <f>D83*C83</f>
        <v>7.99</v>
      </c>
      <c r="F83" s="76" t="s">
        <v>200</v>
      </c>
    </row>
    <row r="84" spans="1:6" ht="25.5">
      <c r="A84" s="12" t="s">
        <v>205</v>
      </c>
      <c r="B84" s="73">
        <v>1</v>
      </c>
      <c r="C84" s="74">
        <v>1</v>
      </c>
      <c r="D84" s="75">
        <v>12.99</v>
      </c>
      <c r="E84" s="75">
        <f>D84*C84</f>
        <v>12.99</v>
      </c>
      <c r="F84" s="76" t="s">
        <v>204</v>
      </c>
    </row>
    <row r="85" spans="1:6">
      <c r="A85" s="12" t="s">
        <v>209</v>
      </c>
      <c r="B85" s="73">
        <v>1</v>
      </c>
      <c r="C85" s="74">
        <v>1</v>
      </c>
      <c r="D85" s="75">
        <v>14.99</v>
      </c>
      <c r="E85" s="75">
        <f t="shared" ref="E85" si="5">D85*C85</f>
        <v>14.99</v>
      </c>
      <c r="F85" s="76" t="s">
        <v>208</v>
      </c>
    </row>
    <row r="86" spans="1:6">
      <c r="A86" s="12" t="s">
        <v>175</v>
      </c>
      <c r="B86" s="73">
        <v>1</v>
      </c>
      <c r="C86" s="73">
        <v>1</v>
      </c>
      <c r="D86" s="73">
        <v>25</v>
      </c>
      <c r="E86" s="73">
        <v>25</v>
      </c>
      <c r="F86" s="73" t="s">
        <v>176</v>
      </c>
    </row>
    <row r="87" spans="1:6">
      <c r="A87" s="93" t="s">
        <v>217</v>
      </c>
      <c r="B87" s="93"/>
      <c r="C87" s="93"/>
      <c r="D87" s="93"/>
      <c r="E87" s="93"/>
      <c r="F87" s="93"/>
    </row>
    <row r="88" spans="1:6">
      <c r="A88" s="12" t="s">
        <v>209</v>
      </c>
      <c r="B88" s="73">
        <v>1</v>
      </c>
      <c r="C88" s="74">
        <v>1</v>
      </c>
      <c r="D88" s="75">
        <v>14.99</v>
      </c>
      <c r="E88" s="75">
        <f t="shared" ref="E88" si="6">D88*C88</f>
        <v>14.99</v>
      </c>
      <c r="F88" s="76" t="s">
        <v>208</v>
      </c>
    </row>
    <row r="89" spans="1:6">
      <c r="A89" s="93" t="s">
        <v>219</v>
      </c>
      <c r="B89" s="93"/>
      <c r="C89" s="93"/>
      <c r="D89" s="93"/>
      <c r="E89" s="93"/>
      <c r="F89" s="93"/>
    </row>
    <row r="90" spans="1:6">
      <c r="A90" s="12" t="s">
        <v>146</v>
      </c>
      <c r="B90" s="13">
        <v>0</v>
      </c>
      <c r="C90" s="14">
        <v>0</v>
      </c>
      <c r="D90" s="15">
        <v>4.99</v>
      </c>
      <c r="E90" s="15">
        <f>D90*C90</f>
        <v>0</v>
      </c>
      <c r="F90" s="58" t="s">
        <v>147</v>
      </c>
    </row>
    <row r="91" spans="1:6">
      <c r="A91" s="12" t="s">
        <v>218</v>
      </c>
      <c r="B91" s="13">
        <v>1</v>
      </c>
      <c r="C91" s="14">
        <v>1</v>
      </c>
      <c r="D91" s="15">
        <v>4.09</v>
      </c>
      <c r="E91" s="15">
        <f t="shared" si="4"/>
        <v>4.09</v>
      </c>
      <c r="F91" s="58" t="s">
        <v>160</v>
      </c>
    </row>
    <row r="92" spans="1:6">
      <c r="A92" s="12" t="s">
        <v>161</v>
      </c>
      <c r="B92" s="13">
        <v>1</v>
      </c>
      <c r="C92" s="14">
        <v>1</v>
      </c>
      <c r="D92" s="15">
        <v>6.99</v>
      </c>
      <c r="E92" s="15">
        <f t="shared" si="4"/>
        <v>6.99</v>
      </c>
      <c r="F92" s="58" t="s">
        <v>162</v>
      </c>
    </row>
    <row r="93" spans="1:6" ht="25.5">
      <c r="A93" s="12" t="s">
        <v>163</v>
      </c>
      <c r="B93" s="13">
        <v>4</v>
      </c>
      <c r="C93" s="14">
        <v>2</v>
      </c>
      <c r="D93" s="15">
        <v>2.79</v>
      </c>
      <c r="E93" s="15">
        <f t="shared" si="4"/>
        <v>5.58</v>
      </c>
      <c r="F93" s="58" t="s">
        <v>164</v>
      </c>
    </row>
    <row r="94" spans="1:6">
      <c r="A94" s="93" t="s">
        <v>221</v>
      </c>
      <c r="B94" s="93"/>
      <c r="C94" s="93"/>
      <c r="D94" s="93"/>
      <c r="E94" s="93"/>
      <c r="F94" s="93"/>
    </row>
    <row r="95" spans="1:6">
      <c r="A95" s="12" t="s">
        <v>220</v>
      </c>
      <c r="B95" s="73">
        <v>4</v>
      </c>
      <c r="C95" s="74">
        <v>4</v>
      </c>
      <c r="D95" s="75">
        <v>8.99</v>
      </c>
      <c r="E95" s="75">
        <f t="shared" si="4"/>
        <v>35.96</v>
      </c>
      <c r="F95" s="78" t="s">
        <v>215</v>
      </c>
    </row>
    <row r="96" spans="1:6">
      <c r="A96" s="12" t="s">
        <v>171</v>
      </c>
      <c r="B96" s="73">
        <v>2</v>
      </c>
      <c r="C96" s="74">
        <v>2</v>
      </c>
      <c r="D96" s="75">
        <v>6.99</v>
      </c>
      <c r="E96" s="75">
        <f t="shared" si="4"/>
        <v>13.98</v>
      </c>
      <c r="F96" s="76" t="s">
        <v>197</v>
      </c>
    </row>
    <row r="97" spans="1:6">
      <c r="A97" s="12" t="s">
        <v>172</v>
      </c>
      <c r="B97" s="73">
        <v>1</v>
      </c>
      <c r="C97" s="73">
        <v>1</v>
      </c>
      <c r="D97" s="73">
        <v>5.99</v>
      </c>
      <c r="E97" s="73">
        <f t="shared" si="4"/>
        <v>5.99</v>
      </c>
      <c r="F97" s="73" t="s">
        <v>196</v>
      </c>
    </row>
    <row r="98" spans="1:6">
      <c r="A98" s="29" t="s">
        <v>229</v>
      </c>
      <c r="B98" s="29"/>
      <c r="C98" s="29"/>
      <c r="D98" s="29"/>
      <c r="E98" s="29"/>
      <c r="F98" s="29"/>
    </row>
    <row r="99" spans="1:6" ht="38.25">
      <c r="A99" s="12" t="s">
        <v>231</v>
      </c>
      <c r="B99">
        <v>1</v>
      </c>
      <c r="C99">
        <v>1</v>
      </c>
      <c r="D99" s="73">
        <v>5.99</v>
      </c>
      <c r="E99" s="73">
        <f t="shared" ref="E99" si="7">D99*C99</f>
        <v>5.99</v>
      </c>
      <c r="F99" s="55" t="s">
        <v>230</v>
      </c>
    </row>
  </sheetData>
  <mergeCells count="1">
    <mergeCell ref="A1:F1"/>
  </mergeCells>
  <hyperlinks>
    <hyperlink ref="F4" r:id="rId1" xr:uid="{BDC1F76B-347C-4637-ABFC-539DF77AE98D}"/>
    <hyperlink ref="F5" r:id="rId2" xr:uid="{C54A04FB-89EA-442E-B75B-94E72C2D6007}"/>
    <hyperlink ref="F7" r:id="rId3" xr:uid="{9CD2EBFF-7B6E-4732-8312-6EC9C3D596FE}"/>
    <hyperlink ref="F32" r:id="rId4" xr:uid="{608F7E9E-0C95-4C34-B24B-2C90FB43D8DE}"/>
    <hyperlink ref="F41" r:id="rId5" xr:uid="{F3070A28-096E-4BA6-939E-CC4AD12B16B0}"/>
    <hyperlink ref="F44" r:id="rId6" xr:uid="{FA269B72-148B-41AE-93EA-1D5F694EAFF8}"/>
    <hyperlink ref="F47" r:id="rId7" xr:uid="{78776D54-4468-4B18-B5AF-F167A85BDDBF}"/>
    <hyperlink ref="F90" r:id="rId8" xr:uid="{8DDF75AB-364B-44C7-95F6-C5E7DB40EEF5}"/>
    <hyperlink ref="F77" r:id="rId9" xr:uid="{96E46EC6-EF9E-4E8B-B4D0-C6D10A0A592C}"/>
    <hyperlink ref="F78" r:id="rId10" xr:uid="{2B15C6D5-C761-4F36-AFD0-0BB4D1756049}"/>
    <hyperlink ref="F79" r:id="rId11" xr:uid="{B7C3B845-7D23-4135-AD1A-FCB105D0A20F}"/>
    <hyperlink ref="F80" r:id="rId12" xr:uid="{287C7E82-3CF9-4D3C-83FE-D3F71C4082B8}"/>
    <hyperlink ref="F82" r:id="rId13" xr:uid="{F24712FB-7972-47CE-ADBC-E57476034DAE}"/>
    <hyperlink ref="F91" r:id="rId14" xr:uid="{CBBD3D41-95FC-4D3A-9CBF-725204C91590}"/>
    <hyperlink ref="F92" r:id="rId15" xr:uid="{EE080E98-B891-41DB-9D7F-19D848C065AE}"/>
    <hyperlink ref="F93" r:id="rId16" xr:uid="{0B505816-1614-4A6E-B0A8-41F41E5D5D65}"/>
    <hyperlink ref="F96" r:id="rId17" xr:uid="{7EE59E88-A58A-4617-9C79-A1628B0FDB6F}"/>
    <hyperlink ref="F97" r:id="rId18" xr:uid="{6D7B7C94-667B-44B2-8990-5789340D8503}"/>
    <hyperlink ref="F83" r:id="rId19" xr:uid="{49757EF4-94D2-4271-A075-FD172AF2ECCF}"/>
    <hyperlink ref="F86" r:id="rId20" xr:uid="{1AA7A574-C80A-4833-82AF-17AC05254BC2}"/>
    <hyperlink ref="F34" r:id="rId21" xr:uid="{668A8457-E71C-41FF-8C51-DDF1B8584A5F}"/>
    <hyperlink ref="F42" r:id="rId22" xr:uid="{1BFE02E3-1A97-4F43-B346-9AA36CB04C1F}"/>
    <hyperlink ref="F74" r:id="rId23" xr:uid="{CA42722C-53B8-485C-A1E8-6ED7A0E57707}"/>
    <hyperlink ref="F73" r:id="rId24" xr:uid="{0251E13C-585F-4150-AEBB-040FD76F2C76}"/>
    <hyperlink ref="F72" r:id="rId25" xr:uid="{0B8AC738-5250-459C-80DB-2207F05BEE41}"/>
    <hyperlink ref="F71" r:id="rId26" xr:uid="{CC29A3B5-2A32-4D9E-95CC-9C2E2A829C76}"/>
    <hyperlink ref="F70" r:id="rId27" xr:uid="{769780C0-3986-4029-AF67-6F1461B094C5}"/>
    <hyperlink ref="F69" r:id="rId28" xr:uid="{3876A17F-F6F4-4615-80D5-B089B2F5611E}"/>
    <hyperlink ref="F68" r:id="rId29" xr:uid="{F272CB27-D0E0-4B64-8A43-22F632226EF3}"/>
    <hyperlink ref="F67" r:id="rId30" xr:uid="{4836988E-4024-413D-B73A-A29EFC4378FC}"/>
    <hyperlink ref="F66" r:id="rId31" xr:uid="{DB0EF813-CB80-4466-9DF1-753415734491}"/>
    <hyperlink ref="F65" r:id="rId32" xr:uid="{621DC47E-88A4-4ED1-BE5C-E3456A3AFB16}"/>
    <hyperlink ref="F64" r:id="rId33" xr:uid="{517EEDD6-FB1F-4855-A625-631303DD250A}"/>
    <hyperlink ref="F63" r:id="rId34" xr:uid="{30970FBF-6D25-48E6-952E-3AA58C452B5B}"/>
    <hyperlink ref="F62" r:id="rId35" xr:uid="{D652ABF5-F123-4EBD-81C0-7DB16233C249}"/>
    <hyperlink ref="F61" r:id="rId36" xr:uid="{C9A2452C-6A12-4F72-B43E-AF6A8BD8D266}"/>
    <hyperlink ref="F60" r:id="rId37" xr:uid="{3A829AB2-F28A-4555-94B7-CBDCC74C035D}"/>
    <hyperlink ref="F59" r:id="rId38" xr:uid="{05B440FA-9DEE-47ED-9B9F-91096E64AEB9}"/>
    <hyperlink ref="F58" r:id="rId39" xr:uid="{43C836A6-6063-43EB-A5C0-EE1E0626DE34}"/>
    <hyperlink ref="F57" r:id="rId40" xr:uid="{D66565CA-6B71-4511-9DAA-27969E3BDC7F}"/>
    <hyperlink ref="F56" r:id="rId41" xr:uid="{0E525498-CAEE-41AD-AB01-FC79427602EE}"/>
    <hyperlink ref="F55" r:id="rId42" xr:uid="{ABC475DF-7889-4AD2-987B-D2CA282820C4}"/>
    <hyperlink ref="F54" r:id="rId43" xr:uid="{B48A879F-A380-4907-93E4-089EA48BB755}"/>
    <hyperlink ref="F53" r:id="rId44" xr:uid="{21BBB7E7-A386-4804-AA66-9AFADDB40E10}"/>
    <hyperlink ref="F52" r:id="rId45" xr:uid="{E739C3A8-905B-41E2-B969-6702D9F1D539}"/>
    <hyperlink ref="F51" r:id="rId46" xr:uid="{6128A5BB-8BDF-4B53-A9C7-BD2E93FDA821}"/>
    <hyperlink ref="F50" r:id="rId47" xr:uid="{8A3C8734-BD24-4713-81A9-C6D73826CFA5}"/>
    <hyperlink ref="F49" r:id="rId48" xr:uid="{2DF43CAB-DB9B-4D5D-A642-DF0DAC29A2AD}"/>
    <hyperlink ref="F48" r:id="rId49" xr:uid="{3C96EF15-3A64-4208-8D31-72427FD03FC6}"/>
    <hyperlink ref="F38" r:id="rId50" display="https://www.amazon.com/EDGELEC-Breadboard-1pin-1pin-Connector-Multicolored/dp/B07GCZBH51/ref=sr_1_6?dchild=1&amp;keywords=Dupont%2B2.54mm%2B2-Pin%2BTwisted%2Bon%2BFemale%2Bto%2BFemale&amp;qid=1623348565&amp;sr=8-6&amp;th=1" xr:uid="{E3FC2165-5D12-4149-B0EB-08E0AA686518}"/>
    <hyperlink ref="F6" r:id="rId51" xr:uid="{A7F7F172-B888-4989-B389-5A0F36383BFB}"/>
    <hyperlink ref="F29" r:id="rId52" xr:uid="{805A10BB-EA08-4C72-A801-EA04A9B0B4B0}"/>
    <hyperlink ref="F28" r:id="rId53" display="https://www.amazon.com/PDI-HV2060MG-Voltage-Digital-Helicopter-Airplane/dp/B07PSLD9P9/ref=sr_1_9?dchild=1&amp;keywords=60kg+servo&amp;qid=1605115344&amp;sr=8-9" xr:uid="{FC1A3EA0-FAD5-4C39-BCCB-FCA09C328E3D}"/>
    <hyperlink ref="F27" r:id="rId54" xr:uid="{F04A3785-6877-4C3B-BE40-C849E388BAB0}"/>
    <hyperlink ref="F26" r:id="rId55" xr:uid="{008EF2CD-C098-45B9-8A46-EC354D1E75A9}"/>
    <hyperlink ref="F25" r:id="rId56" xr:uid="{3468A9C8-AB41-4CE1-A335-457A2AC8A7A8}"/>
    <hyperlink ref="F24" r:id="rId57" xr:uid="{7A1F0EF2-DA1D-4F58-9FB4-F6BE6A603E5E}"/>
    <hyperlink ref="F22" r:id="rId58" xr:uid="{8ECCC35B-70CE-4C68-9702-556A8A40E49C}"/>
    <hyperlink ref="F20" r:id="rId59" xr:uid="{CB47D8DE-0250-4E73-AE3D-AB63391B2FA2}"/>
    <hyperlink ref="F19" r:id="rId60" xr:uid="{D49AC8E6-CD6B-40D1-9533-121D85F5A88A}"/>
    <hyperlink ref="F18" r:id="rId61" xr:uid="{F85F0379-0AD0-476D-9494-46002697CD39}"/>
    <hyperlink ref="F15" r:id="rId62" xr:uid="{DD38F09D-B7E5-4B49-B80C-09B26FB051D5}"/>
    <hyperlink ref="F8" r:id="rId63" xr:uid="{150AECCC-BBF7-4697-8B38-BD05F162096B}"/>
    <hyperlink ref="F16" r:id="rId64" xr:uid="{CEBBA275-B0A1-4F6D-ABED-5EC8DD9A7406}"/>
    <hyperlink ref="F17" r:id="rId65" xr:uid="{426F4317-9E3C-41E4-B4D6-65E364D45DAC}"/>
    <hyperlink ref="F36" r:id="rId66" xr:uid="{E346593B-5B07-4710-81D8-938CA1E91A6F}"/>
    <hyperlink ref="F35" r:id="rId67" xr:uid="{3F684D7F-89EB-44DC-9332-7307F80B69ED}"/>
    <hyperlink ref="F23" r:id="rId68" xr:uid="{0D8A1490-6F0F-4C65-A12C-5D564DC2620E}"/>
    <hyperlink ref="F31" r:id="rId69" xr:uid="{9BE11FF8-8A4A-49EB-9BF5-CE14A16ECD69}"/>
    <hyperlink ref="F84" r:id="rId70" xr:uid="{4DB91B24-C3BA-4861-8AF2-B845C1D5EAB7}"/>
    <hyperlink ref="F95" r:id="rId71" display="https://www.servocity.com/1400-series-1-side-2-post-clamping-mount-32mm-bore/" xr:uid="{C0CA7255-A974-48FB-9C8A-C0468F75331D}"/>
    <hyperlink ref="F85" r:id="rId72" xr:uid="{42117DFF-01EE-4E72-978F-658C00A733C2}"/>
    <hyperlink ref="F88" r:id="rId73" xr:uid="{F82BBD01-1302-44BD-B8CB-E05C9E021137}"/>
    <hyperlink ref="F45" r:id="rId74" display="https://www.dfrobot.com/product-1121.html" xr:uid="{71D069F2-DC15-450A-A00C-4EC430CE8310}"/>
    <hyperlink ref="F30" r:id="rId75" display="https://www.amazon.com/dp/B0CPQ78W91?ref_=ppx_hzsearch_conn_dt_b_fed_asin_title_3&amp;th=1" xr:uid="{724FC091-AC82-4D6A-939C-12491B51FA7C}"/>
    <hyperlink ref="F99" r:id="rId76" display="https://www.amazon.com/dp/B088FYQJYZ?ref_=ppx_hzsearch_conn_dt_b_fed_asin_title_6" xr:uid="{A4F1FE0B-6F89-40E5-9711-8B86ED5261FB}"/>
    <hyperlink ref="F33" r:id="rId77" display="https://www.amazon.com/dp/B0DMFC6D2G?ref=ppx_yo2ov_dt_b_fed_asin_title" xr:uid="{C5ECC2D9-AE43-44B7-818A-3CFFE01A8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Build Parts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VanDusen</dc:creator>
  <cp:keywords/>
  <dc:description/>
  <cp:lastModifiedBy>James VanDusen</cp:lastModifiedBy>
  <cp:revision/>
  <dcterms:created xsi:type="dcterms:W3CDTF">2022-02-23T15:50:09Z</dcterms:created>
  <dcterms:modified xsi:type="dcterms:W3CDTF">2026-10-03T14:11:06Z</dcterms:modified>
  <cp:category/>
  <cp:contentStatus/>
</cp:coreProperties>
</file>